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9.xml" ContentType="application/vnd.ms-excel.person+xml"/>
  <Override PartName="/xl/persons/person6.xml" ContentType="application/vnd.ms-excel.person+xml"/>
  <Override PartName="/xl/persons/person25.xml" ContentType="application/vnd.ms-excel.person+xml"/>
  <Override PartName="/xl/persons/person30.xml" ContentType="application/vnd.ms-excel.person+xml"/>
  <Override PartName="/xl/persons/person43.xml" ContentType="application/vnd.ms-excel.person+xml"/>
  <Override PartName="/xl/persons/person51.xml" ContentType="application/vnd.ms-excel.person+xml"/>
  <Override PartName="/xl/persons/person54.xml" ContentType="application/vnd.ms-excel.person+xml"/>
  <Override PartName="/xl/persons/person10.xml" ContentType="application/vnd.ms-excel.person+xml"/>
  <Override PartName="/xl/persons/person8.xml" ContentType="application/vnd.ms-excel.person+xml"/>
  <Override PartName="/xl/persons/person15.xml" ContentType="application/vnd.ms-excel.person+xml"/>
  <Override PartName="/xl/persons/person21.xml" ContentType="application/vnd.ms-excel.person+xml"/>
  <Override PartName="/xl/persons/person11.xml" ContentType="application/vnd.ms-excel.person+xml"/>
  <Override PartName="/xl/persons/person28.xml" ContentType="application/vnd.ms-excel.person+xml"/>
  <Override PartName="/xl/persons/person35.xml" ContentType="application/vnd.ms-excel.person+xml"/>
  <Override PartName="/xl/persons/person39.xml" ContentType="application/vnd.ms-excel.person+xml"/>
  <Override PartName="/xl/persons/person47.xml" ContentType="application/vnd.ms-excel.person+xml"/>
  <Override PartName="/xl/persons/person41.xml" ContentType="application/vnd.ms-excel.person+xml"/>
  <Override PartName="/xl/persons/person7.xml" ContentType="application/vnd.ms-excel.person+xml"/>
  <Override PartName="/xl/persons/person45.xml" ContentType="application/vnd.ms-excel.person+xml"/>
  <Override PartName="/xl/persons/person32.xml" ContentType="application/vnd.ms-excel.person+xml"/>
  <Override PartName="/xl/persons/person29.xml" ContentType="application/vnd.ms-excel.person+xml"/>
  <Override PartName="/xl/persons/person22.xml" ContentType="application/vnd.ms-excel.person+xml"/>
  <Override PartName="/xl/persons/person16.xml" ContentType="application/vnd.ms-excel.person+xml"/>
  <Override PartName="/xl/persons/person13.xml" ContentType="application/vnd.ms-excel.person+xml"/>
  <Override PartName="/xl/persons/person1.xml" ContentType="application/vnd.ms-excel.person+xml"/>
  <Override PartName="/xl/persons/person46.xml" ContentType="application/vnd.ms-excel.person+xml"/>
  <Override PartName="/xl/persons/person52.xml" ContentType="application/vnd.ms-excel.person+xml"/>
  <Override PartName="/xl/persons/person36.xml" ContentType="application/vnd.ms-excel.person+xml"/>
  <Override PartName="/xl/persons/person55.xml" ContentType="application/vnd.ms-excel.person+xml"/>
  <Override PartName="/xl/persons/person49.xml" ContentType="application/vnd.ms-excel.person+xml"/>
  <Override PartName="/xl/persons/person42.xml" ContentType="application/vnd.ms-excel.person+xml"/>
  <Override PartName="/xl/persons/person26.xml" ContentType="application/vnd.ms-excel.person+xml"/>
  <Override PartName="/xl/persons/person3.xml" ContentType="application/vnd.ms-excel.person+xml"/>
  <Override PartName="/xl/persons/person17.xml" ContentType="application/vnd.ms-excel.person+xml"/>
  <Override PartName="/xl/persons/person20.xml" ContentType="application/vnd.ms-excel.person+xml"/>
  <Override PartName="/xl/persons/person44.xml" ContentType="application/vnd.ms-excel.person+xml"/>
  <Override PartName="/xl/persons/person38.xml" ContentType="application/vnd.ms-excel.person+xml"/>
  <Override PartName="/xl/persons/person5.xml" ContentType="application/vnd.ms-excel.person+xml"/>
  <Override PartName="/xl/persons/person24.xml" ContentType="application/vnd.ms-excel.person+xml"/>
  <Override PartName="/xl/persons/person53.xml" ContentType="application/vnd.ms-excel.person+xml"/>
  <Override PartName="/xl/persons/person50.xml" ContentType="application/vnd.ms-excel.person+xml"/>
  <Override PartName="/xl/persons/person27.xml" ContentType="application/vnd.ms-excel.person+xml"/>
  <Override PartName="/xl/persons/person0.xml" ContentType="application/vnd.ms-excel.person+xml"/>
  <Override PartName="/xl/persons/person4.xml" ContentType="application/vnd.ms-excel.person+xml"/>
  <Override PartName="/xl/persons/person19.xml" ContentType="application/vnd.ms-excel.person+xml"/>
  <Override PartName="/xl/persons/person31.xml" ContentType="application/vnd.ms-excel.person+xml"/>
  <Override PartName="/xl/persons/person48.xml" ContentType="application/vnd.ms-excel.person+xml"/>
  <Override PartName="/xl/persons/person40.xml" ContentType="application/vnd.ms-excel.person+xml"/>
  <Override PartName="/xl/persons/person34.xml" ContentType="application/vnd.ms-excel.person+xml"/>
  <Override PartName="/xl/persons/person14.xml" ContentType="application/vnd.ms-excel.person+xml"/>
  <Override PartName="/xl/persons/person12.xml" ContentType="application/vnd.ms-excel.person+xml"/>
  <Override PartName="/xl/persons/person56.xml" ContentType="application/vnd.ms-excel.person+xml"/>
  <Override PartName="/xl/persons/person2.xml" ContentType="application/vnd.ms-excel.person+xml"/>
  <Override PartName="/xl/persons/person23.xml" ContentType="application/vnd.ms-excel.person+xml"/>
  <Override PartName="/xl/persons/person18.xml" ContentType="application/vnd.ms-excel.person+xml"/>
  <Override PartName="/xl/persons/person33.xml" ContentType="application/vnd.ms-excel.person+xml"/>
  <Override PartName="/xl/persons/person37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3ccd1b3724d3287/Articles/دوره شرکت گاز تهران/Session 10/"/>
    </mc:Choice>
  </mc:AlternateContent>
  <xr:revisionPtr revIDLastSave="5158" documentId="11_F25DC773A252ABDACC1048E3F95D755E5BDE58EB" xr6:coauthVersionLast="47" xr6:coauthVersionMax="47" xr10:uidLastSave="{9052028F-8E95-4B8C-82F8-A42E87061668}"/>
  <bookViews>
    <workbookView xWindow="-120" yWindow="-120" windowWidth="29040" windowHeight="15990" firstSheet="1" activeTab="1" xr2:uid="{00000000-000D-0000-FFFF-FFFF00000000}"/>
  </bookViews>
  <sheets>
    <sheet name="logical test(Hidden)" sheetId="23" state="hidden" r:id="rId1"/>
    <sheet name="Data Validation" sheetId="57" r:id="rId2"/>
    <sheet name="Filter &amp; Advanced Filter" sheetId="48" r:id="rId3"/>
    <sheet name="Freeze Panes" sheetId="71" r:id="rId4"/>
    <sheet name="Find &amp; Replace" sheetId="64" r:id="rId5"/>
    <sheet name="VLOOKUP(1)" sheetId="51" r:id="rId6"/>
    <sheet name="MATCH&amp;INDEX" sheetId="72" r:id="rId7"/>
    <sheet name="Errors" sheetId="68" r:id="rId8"/>
    <sheet name="Errors(1)" sheetId="69" r:id="rId9"/>
  </sheets>
  <definedNames>
    <definedName name="_xlnm._FilterDatabase" localSheetId="1" hidden="1">'Data Validation'!$V$15:$V$19</definedName>
    <definedName name="_xlnm._FilterDatabase" localSheetId="7" hidden="1">Errors!$B$2:$F$15</definedName>
    <definedName name="_xlnm._FilterDatabase" localSheetId="2" hidden="1">'Filter &amp; Advanced Filter'!$B$2:$I$20</definedName>
    <definedName name="_xlnm._FilterDatabase" localSheetId="4" hidden="1">'Find &amp; Replace'!$B$2:$I$20</definedName>
    <definedName name="_xlnm._FilterDatabase" localSheetId="0" hidden="1">'logical test(Hidden)'!$N$15:$P$22</definedName>
    <definedName name="_xlnm._FilterDatabase" localSheetId="6" hidden="1">'MATCH&amp;INDEX'!$B$2:$F$15</definedName>
    <definedName name="_xlnm._FilterDatabase" localSheetId="5" hidden="1">'VLOOKUP(1)'!$B$2:$F$15</definedName>
    <definedName name="_xlnm.Criteria" localSheetId="2">'Filter &amp; Advanced Filter'!$M$2:$M$3</definedName>
    <definedName name="Description_Error" localSheetId="6">Table2[علت خطا]</definedName>
    <definedName name="Description_Error">Table2[علت خطا]</definedName>
    <definedName name="_xlnm.Extract" localSheetId="2">'Filter &amp; Advanced Filter'!$K$6:$R$6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68" l="1"/>
  <c r="G38" i="71"/>
  <c r="F38" i="71"/>
  <c r="E38" i="71"/>
  <c r="P30" i="23" l="1"/>
  <c r="P31" i="23"/>
  <c r="P32" i="23"/>
  <c r="P33" i="23"/>
  <c r="P34" i="23"/>
  <c r="P35" i="23"/>
  <c r="P29" i="23"/>
  <c r="F30" i="23"/>
  <c r="F31" i="23"/>
  <c r="F32" i="23"/>
  <c r="F33" i="23"/>
  <c r="F34" i="23"/>
  <c r="F35" i="23"/>
  <c r="F29" i="23"/>
  <c r="P17" i="23"/>
  <c r="P18" i="23"/>
  <c r="P19" i="23"/>
  <c r="P20" i="23"/>
  <c r="P21" i="23"/>
  <c r="P22" i="23"/>
  <c r="P16" i="23"/>
  <c r="F17" i="23"/>
  <c r="F18" i="23"/>
  <c r="F19" i="23"/>
  <c r="F20" i="23"/>
  <c r="F21" i="23"/>
  <c r="F22" i="23"/>
  <c r="F16" i="23"/>
  <c r="P4" i="23"/>
  <c r="P5" i="23"/>
  <c r="P6" i="23"/>
  <c r="P7" i="23"/>
  <c r="P8" i="23"/>
  <c r="P9" i="23"/>
  <c r="P3" i="23"/>
  <c r="F4" i="23"/>
  <c r="F5" i="23"/>
  <c r="F6" i="23"/>
  <c r="F7" i="23"/>
  <c r="F8" i="23"/>
  <c r="F9" i="23"/>
  <c r="F3" i="23"/>
</calcChain>
</file>

<file path=xl/sharedStrings.xml><?xml version="1.0" encoding="utf-8"?>
<sst xmlns="http://schemas.openxmlformats.org/spreadsheetml/2006/main" count="646" uniqueCount="161">
  <si>
    <t>نام کالا</t>
  </si>
  <si>
    <t>نام دانشجو</t>
  </si>
  <si>
    <t>مریم پیری</t>
  </si>
  <si>
    <t>محمد نظری</t>
  </si>
  <si>
    <t>مسعودحسینی</t>
  </si>
  <si>
    <t>وحید رجبی</t>
  </si>
  <si>
    <t>علیرضا مهربانی</t>
  </si>
  <si>
    <t>مهدی سلطانی</t>
  </si>
  <si>
    <t>بهنام غفاری</t>
  </si>
  <si>
    <t>تعداد فروش</t>
  </si>
  <si>
    <t>پردازنده</t>
  </si>
  <si>
    <t>کیبورد</t>
  </si>
  <si>
    <t>ماوس</t>
  </si>
  <si>
    <t>مانیتور</t>
  </si>
  <si>
    <t>هارد دیسک</t>
  </si>
  <si>
    <t>رم</t>
  </si>
  <si>
    <t>مادربرد</t>
  </si>
  <si>
    <t>تساوی</t>
  </si>
  <si>
    <t>=</t>
  </si>
  <si>
    <t>بزرگتر از</t>
  </si>
  <si>
    <t>&gt;</t>
  </si>
  <si>
    <t>بزرگتر مساوی</t>
  </si>
  <si>
    <t>&gt;=</t>
  </si>
  <si>
    <t>کوچکتر از</t>
  </si>
  <si>
    <t>&lt;</t>
  </si>
  <si>
    <t>کوچکتر مساوی</t>
  </si>
  <si>
    <t>&lt;=</t>
  </si>
  <si>
    <t>مخالف (برابر نیست)</t>
  </si>
  <si>
    <t>&lt;&gt;</t>
  </si>
  <si>
    <t>خالی بودن</t>
  </si>
  <si>
    <t>""</t>
  </si>
  <si>
    <t>پر بودن</t>
  </si>
  <si>
    <t>&lt;&gt;""</t>
  </si>
  <si>
    <t>نام و نام خانوادگی</t>
  </si>
  <si>
    <t>شهر</t>
  </si>
  <si>
    <t>قم</t>
  </si>
  <si>
    <t>مشهد</t>
  </si>
  <si>
    <t>تهران</t>
  </si>
  <si>
    <t>اردبیل</t>
  </si>
  <si>
    <t>اصفهان</t>
  </si>
  <si>
    <t>اراک</t>
  </si>
  <si>
    <t>شیراز</t>
  </si>
  <si>
    <t>مسافت(کیلومتر)</t>
  </si>
  <si>
    <t>وضعیت سفر (کمتر از 40 کیلومتر)</t>
  </si>
  <si>
    <t>نام پروژه</t>
  </si>
  <si>
    <t>درصد پیشرفت کار</t>
  </si>
  <si>
    <t>پروژه الف</t>
  </si>
  <si>
    <t>پروژه ب</t>
  </si>
  <si>
    <t>پروژه پ</t>
  </si>
  <si>
    <t>پروژه ج</t>
  </si>
  <si>
    <t>پروژه ت</t>
  </si>
  <si>
    <t>پروژه ث</t>
  </si>
  <si>
    <t>پروژه چ</t>
  </si>
  <si>
    <t>رتبه برتر (رتبه A یا نمره 100)</t>
  </si>
  <si>
    <t>رتبه / نمره</t>
  </si>
  <si>
    <t>A</t>
  </si>
  <si>
    <t>B</t>
  </si>
  <si>
    <t>بازنشسته / خالی</t>
  </si>
  <si>
    <t>رتبه برتر / خالی</t>
  </si>
  <si>
    <t>اتمام پروژه / خالی</t>
  </si>
  <si>
    <t>نام پرسنل</t>
  </si>
  <si>
    <t>حقوق (تومان)</t>
  </si>
  <si>
    <t>مالیات (10% حقوق‌های بیشتر از 5 میلیون تومان)</t>
  </si>
  <si>
    <t>محاسبه مالیات / خالی</t>
  </si>
  <si>
    <t>فروشنده خوب / خالی</t>
  </si>
  <si>
    <t>1:</t>
  </si>
  <si>
    <t>2:</t>
  </si>
  <si>
    <t>3:</t>
  </si>
  <si>
    <t>4:</t>
  </si>
  <si>
    <t>5:</t>
  </si>
  <si>
    <t>6:</t>
  </si>
  <si>
    <t>سابقه (سال)</t>
  </si>
  <si>
    <t>نزدیک / خالی</t>
  </si>
  <si>
    <t>وضعیت بازنشستگی(بیشتر از 25 سال سابقه)</t>
  </si>
  <si>
    <t>Logical Test</t>
  </si>
  <si>
    <t>رتبه فروشنده (تعداد فروش بین 20 الی 50)</t>
  </si>
  <si>
    <t>وضعیت درصد پیشرفت کار  (100%)</t>
  </si>
  <si>
    <t>موجود</t>
  </si>
  <si>
    <t>ناموجود</t>
  </si>
  <si>
    <t>منطقه</t>
  </si>
  <si>
    <t>نام سفارش‌‌دهنده</t>
  </si>
  <si>
    <t>تعداد</t>
  </si>
  <si>
    <t>قیمت هرواحد(ریال)</t>
  </si>
  <si>
    <t>قیمت کل(ریال)</t>
  </si>
  <si>
    <t>وضعیت</t>
  </si>
  <si>
    <t>شرق</t>
  </si>
  <si>
    <t>تهرانی مقدم</t>
  </si>
  <si>
    <t>مداد</t>
  </si>
  <si>
    <t>مرکزی</t>
  </si>
  <si>
    <t>گنجی</t>
  </si>
  <si>
    <t>کلاسور</t>
  </si>
  <si>
    <t>خسرو شاهی</t>
  </si>
  <si>
    <t>رادان</t>
  </si>
  <si>
    <t>غرب</t>
  </si>
  <si>
    <t>اشکان</t>
  </si>
  <si>
    <t>مهرگان</t>
  </si>
  <si>
    <t>درخشان</t>
  </si>
  <si>
    <t>رستگار</t>
  </si>
  <si>
    <t>نیک زاد</t>
  </si>
  <si>
    <t>شایگان</t>
  </si>
  <si>
    <t>ماژیک رنگ آمیزی</t>
  </si>
  <si>
    <t>ماژیک هایلایتر</t>
  </si>
  <si>
    <t>چسب</t>
  </si>
  <si>
    <t>مداد تراش</t>
  </si>
  <si>
    <t>دفتر</t>
  </si>
  <si>
    <t>کدسفارش</t>
  </si>
  <si>
    <t>بخش</t>
  </si>
  <si>
    <t>مهندس کنترل</t>
  </si>
  <si>
    <t>کارگردان</t>
  </si>
  <si>
    <t>عنوان شغلی</t>
  </si>
  <si>
    <t>مهندسی</t>
  </si>
  <si>
    <t>تحلیلگر</t>
  </si>
  <si>
    <t>حسابداری</t>
  </si>
  <si>
    <t>مدیر شبکه</t>
  </si>
  <si>
    <t>آی‌تی</t>
  </si>
  <si>
    <t>مدیر توسعه</t>
  </si>
  <si>
    <t>مدیر سیستم</t>
  </si>
  <si>
    <t>مدیر</t>
  </si>
  <si>
    <t>کدپرسنلی</t>
  </si>
  <si>
    <t>حقوق  و مزایا</t>
  </si>
  <si>
    <t>کدپرسنلی:</t>
  </si>
  <si>
    <t>نام پرسنل:</t>
  </si>
  <si>
    <t>بخش:</t>
  </si>
  <si>
    <t>حقوق و مزایا:</t>
  </si>
  <si>
    <t>بیشتر از 25 سال سابقه (مجاز)</t>
  </si>
  <si>
    <t>حداکثر وزن بار 60 کیلوگرم(مجاز)</t>
  </si>
  <si>
    <t>وضعیت انبار (موجود/ناموجود)</t>
  </si>
  <si>
    <t>مشهد - تبریز</t>
  </si>
  <si>
    <t>قم - تهران</t>
  </si>
  <si>
    <t>کارت گرافیک</t>
  </si>
  <si>
    <t>تهران - قم</t>
  </si>
  <si>
    <t>اردبیل - قم</t>
  </si>
  <si>
    <t>اصفهان - اهواز</t>
  </si>
  <si>
    <t>هدست</t>
  </si>
  <si>
    <t>شیراز - تهران</t>
  </si>
  <si>
    <t>اراک - تبریز</t>
  </si>
  <si>
    <t>TRUE,FALSE</t>
  </si>
  <si>
    <t>ساعت ورود و خروج (08:00 الی 16:00)</t>
  </si>
  <si>
    <t>کدملی (حداکثر 10 رقم)</t>
  </si>
  <si>
    <t>0480496358</t>
  </si>
  <si>
    <t>0584962514</t>
  </si>
  <si>
    <t>0658546321</t>
  </si>
  <si>
    <t>0321478596</t>
  </si>
  <si>
    <t>Errors:</t>
  </si>
  <si>
    <t>#NAME</t>
  </si>
  <si>
    <t>#DIV/0</t>
  </si>
  <si>
    <t>#######</t>
  </si>
  <si>
    <t>روزهای کارکرد</t>
  </si>
  <si>
    <t>نوع خطا</t>
  </si>
  <si>
    <t>علت خطا</t>
  </si>
  <si>
    <t>#VALUE</t>
  </si>
  <si>
    <t>تقسیم یک عدد بر عدد صفر</t>
  </si>
  <si>
    <t xml:space="preserve">وجود اشتباه در نام تابع </t>
  </si>
  <si>
    <t>عدم یافت عامل جستجو</t>
  </si>
  <si>
    <t>########</t>
  </si>
  <si>
    <t>عدم وجود فضای کافی جهت نمایش</t>
  </si>
  <si>
    <t>مفقود شدن در آدرس‌دهی</t>
  </si>
  <si>
    <t>عدم وجود اشتراک</t>
  </si>
  <si>
    <t>ورودی و محاسبات خارج از عرف</t>
  </si>
  <si>
    <t>جمع کل</t>
  </si>
  <si>
    <t>دم شما گرم 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</si>
</sst>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"/>
    <numFmt numFmtId="165" formatCode="[$-F400]h:mm:ss\ AM/PM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Yekan Bakh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499984740745262"/>
      <name val="Yekan Bakh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darkDown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double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double">
        <color theme="1"/>
      </top>
      <bottom/>
      <diagonal/>
    </border>
    <border>
      <left/>
      <right/>
      <top style="double">
        <color theme="1"/>
      </top>
      <bottom/>
      <diagonal/>
    </border>
    <border>
      <left/>
      <right style="thin">
        <color theme="0" tint="-0.249977111117893"/>
      </right>
      <top style="double">
        <color theme="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double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double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9" fontId="1" fillId="0" borderId="1" xfId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0" xfId="0" applyFont="1"/>
    <xf numFmtId="9" fontId="1" fillId="0" borderId="0" xfId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/>
    </xf>
    <xf numFmtId="49" fontId="3" fillId="0" borderId="0" xfId="0" applyNumberFormat="1" applyFont="1"/>
    <xf numFmtId="0" fontId="0" fillId="0" borderId="2" xfId="0" applyBorder="1"/>
    <xf numFmtId="0" fontId="3" fillId="0" borderId="0" xfId="0" applyFont="1" applyAlignment="1">
      <alignment horizontal="centerContinuous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165" fontId="1" fillId="0" borderId="1" xfId="1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0" xfId="0" quotePrefix="1" applyAlignment="1">
      <alignment vertical="top"/>
    </xf>
    <xf numFmtId="1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" fontId="0" fillId="0" borderId="0" xfId="0" applyNumberFormat="1"/>
    <xf numFmtId="3" fontId="1" fillId="0" borderId="3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/>
    </xf>
    <xf numFmtId="0" fontId="0" fillId="7" borderId="7" xfId="0" applyFill="1" applyBorder="1"/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0" xfId="0" applyNumberFormat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3">
    <cellStyle name="Currency 2" xfId="2" xr:uid="{E096664F-5334-4A21-A599-6B2AD085E2AC}"/>
    <cellStyle name="Normal" xfId="0" builtinId="0"/>
    <cellStyle name="Percent" xfId="1" builtinId="5"/>
  </cellStyles>
  <dxfs count="11">
    <dxf>
      <font>
        <b/>
        <i val="0"/>
        <color theme="1"/>
      </font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ekan Bakh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ekan Bakh"/>
        <scheme val="none"/>
      </font>
    </dxf>
    <dxf>
      <border outline="0"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ekan Bakh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microsoft.com/office/2017/10/relationships/person" Target="persons/person9.xml"/><Relationship Id="rId21" Type="http://schemas.microsoft.com/office/2017/10/relationships/person" Target="persons/person6.xml"/><Relationship Id="rId42" Type="http://schemas.microsoft.com/office/2017/10/relationships/person" Target="persons/person25.xml"/><Relationship Id="rId47" Type="http://schemas.microsoft.com/office/2017/10/relationships/person" Target="persons/person30.xml"/><Relationship Id="rId63" Type="http://schemas.microsoft.com/office/2017/10/relationships/person" Target="persons/person43.xml"/><Relationship Id="rId68" Type="http://schemas.microsoft.com/office/2017/10/relationships/person" Target="persons/person51.xml"/><Relationship Id="rId7" Type="http://schemas.openxmlformats.org/officeDocument/2006/relationships/worksheet" Target="worksheets/sheet7.xml"/><Relationship Id="rId71" Type="http://schemas.microsoft.com/office/2017/10/relationships/person" Target="persons/person54.xml"/><Relationship Id="rId2" Type="http://schemas.openxmlformats.org/officeDocument/2006/relationships/worksheet" Target="worksheets/sheet2.xml"/><Relationship Id="rId29" Type="http://schemas.microsoft.com/office/2017/10/relationships/person" Target="persons/person10.xml"/><Relationship Id="rId11" Type="http://schemas.openxmlformats.org/officeDocument/2006/relationships/styles" Target="styles.xml"/><Relationship Id="rId24" Type="http://schemas.microsoft.com/office/2017/10/relationships/person" Target="persons/person8.xml"/><Relationship Id="rId32" Type="http://schemas.microsoft.com/office/2017/10/relationships/person" Target="persons/person15.xml"/><Relationship Id="rId37" Type="http://schemas.microsoft.com/office/2017/10/relationships/person" Target="persons/person21.xml"/><Relationship Id="rId40" Type="http://schemas.microsoft.com/office/2017/10/relationships/person" Target="persons/person11.xml"/><Relationship Id="rId45" Type="http://schemas.microsoft.com/office/2017/10/relationships/person" Target="persons/person28.xml"/><Relationship Id="rId53" Type="http://schemas.microsoft.com/office/2017/10/relationships/person" Target="persons/person35.xml"/><Relationship Id="rId58" Type="http://schemas.microsoft.com/office/2017/10/relationships/person" Target="persons/person39.xml"/><Relationship Id="rId66" Type="http://schemas.microsoft.com/office/2017/10/relationships/person" Target="persons/person47.xml"/><Relationship Id="rId5" Type="http://schemas.openxmlformats.org/officeDocument/2006/relationships/worksheet" Target="worksheets/sheet5.xml"/><Relationship Id="rId61" Type="http://schemas.microsoft.com/office/2017/10/relationships/person" Target="persons/person41.xml"/><Relationship Id="rId19" Type="http://schemas.microsoft.com/office/2017/10/relationships/person" Target="persons/person7.xml"/><Relationship Id="rId14" Type="http://schemas.openxmlformats.org/officeDocument/2006/relationships/calcChain" Target="calcChain.xml"/><Relationship Id="rId56" Type="http://schemas.microsoft.com/office/2017/10/relationships/person" Target="persons/person45.xml"/><Relationship Id="rId48" Type="http://schemas.microsoft.com/office/2017/10/relationships/person" Target="persons/person32.xml"/><Relationship Id="rId43" Type="http://schemas.microsoft.com/office/2017/10/relationships/person" Target="persons/person29.xml"/><Relationship Id="rId35" Type="http://schemas.microsoft.com/office/2017/10/relationships/person" Target="persons/person22.xml"/><Relationship Id="rId30" Type="http://schemas.microsoft.com/office/2017/10/relationships/person" Target="persons/person16.xml"/><Relationship Id="rId27" Type="http://schemas.microsoft.com/office/2017/10/relationships/person" Target="persons/person13.xml"/><Relationship Id="rId22" Type="http://schemas.microsoft.com/office/2017/10/relationships/person" Target="persons/person1.xml"/><Relationship Id="rId64" Type="http://schemas.microsoft.com/office/2017/10/relationships/person" Target="persons/person46.xml"/><Relationship Id="rId69" Type="http://schemas.microsoft.com/office/2017/10/relationships/person" Target="persons/person52.xml"/><Relationship Id="rId8" Type="http://schemas.openxmlformats.org/officeDocument/2006/relationships/worksheet" Target="worksheets/sheet8.xml"/><Relationship Id="rId51" Type="http://schemas.microsoft.com/office/2017/10/relationships/person" Target="persons/person36.xml"/><Relationship Id="rId72" Type="http://schemas.microsoft.com/office/2017/10/relationships/person" Target="persons/person55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67" Type="http://schemas.microsoft.com/office/2017/10/relationships/person" Target="persons/person49.xml"/><Relationship Id="rId59" Type="http://schemas.microsoft.com/office/2017/10/relationships/person" Target="persons/person42.xml"/><Relationship Id="rId46" Type="http://schemas.microsoft.com/office/2017/10/relationships/person" Target="persons/person26.xml"/><Relationship Id="rId25" Type="http://schemas.microsoft.com/office/2017/10/relationships/person" Target="persons/person3.xml"/><Relationship Id="rId33" Type="http://schemas.microsoft.com/office/2017/10/relationships/person" Target="persons/person17.xml"/><Relationship Id="rId38" Type="http://schemas.microsoft.com/office/2017/10/relationships/person" Target="persons/person20.xml"/><Relationship Id="rId62" Type="http://schemas.microsoft.com/office/2017/10/relationships/person" Target="persons/person44.xml"/><Relationship Id="rId54" Type="http://schemas.microsoft.com/office/2017/10/relationships/person" Target="persons/person38.xml"/><Relationship Id="rId20" Type="http://schemas.microsoft.com/office/2017/10/relationships/person" Target="persons/person5.xml"/><Relationship Id="rId41" Type="http://schemas.microsoft.com/office/2017/10/relationships/person" Target="persons/person24.xml"/><Relationship Id="rId70" Type="http://schemas.microsoft.com/office/2017/10/relationships/person" Target="persons/person5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microsoft.com/office/2017/10/relationships/person" Target="persons/person50.xml"/><Relationship Id="rId57" Type="http://schemas.microsoft.com/office/2017/10/relationships/person" Target="persons/person27.xml"/><Relationship Id="rId23" Type="http://schemas.microsoft.com/office/2017/10/relationships/person" Target="persons/person0.xml"/><Relationship Id="rId28" Type="http://schemas.microsoft.com/office/2017/10/relationships/person" Target="persons/person4.xml"/><Relationship Id="rId36" Type="http://schemas.microsoft.com/office/2017/10/relationships/person" Target="persons/person19.xml"/><Relationship Id="rId49" Type="http://schemas.microsoft.com/office/2017/10/relationships/person" Target="persons/person31.xml"/><Relationship Id="rId10" Type="http://schemas.openxmlformats.org/officeDocument/2006/relationships/theme" Target="theme/theme1.xml"/><Relationship Id="rId65" Type="http://schemas.microsoft.com/office/2017/10/relationships/person" Target="persons/person48.xml"/><Relationship Id="rId60" Type="http://schemas.microsoft.com/office/2017/10/relationships/person" Target="persons/person40.xml"/><Relationship Id="rId52" Type="http://schemas.microsoft.com/office/2017/10/relationships/person" Target="persons/person34.xml"/><Relationship Id="rId31" Type="http://schemas.microsoft.com/office/2017/10/relationships/person" Target="persons/person14.xml"/><Relationship Id="rId44" Type="http://schemas.microsoft.com/office/2017/10/relationships/person" Target="persons/person12.xml"/><Relationship Id="rId73" Type="http://schemas.microsoft.com/office/2017/10/relationships/person" Target="persons/person5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microsoft.com/office/2017/10/relationships/person" Target="persons/person.xml"/><Relationship Id="rId18" Type="http://schemas.microsoft.com/office/2017/10/relationships/person" Target="persons/person2.xml"/><Relationship Id="rId39" Type="http://schemas.microsoft.com/office/2017/10/relationships/person" Target="persons/person23.xml"/><Relationship Id="rId34" Type="http://schemas.microsoft.com/office/2017/10/relationships/person" Target="persons/person18.xml"/><Relationship Id="rId50" Type="http://schemas.microsoft.com/office/2017/10/relationships/person" Target="persons/person33.xml"/><Relationship Id="rId55" Type="http://schemas.microsoft.com/office/2017/10/relationships/person" Target="persons/person3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133350</xdr:colOff>
      <xdr:row>1</xdr:row>
      <xdr:rowOff>76200</xdr:rowOff>
    </xdr:from>
    <xdr:to>
      <xdr:col>17</xdr:col>
      <xdr:colOff>540731</xdr:colOff>
      <xdr:row>12</xdr:row>
      <xdr:rowOff>51980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45ACFB-59D3-E817-A321-6DAABFEBD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23850"/>
          <a:ext cx="5893781" cy="26046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28575</xdr:colOff>
      <xdr:row>2</xdr:row>
      <xdr:rowOff>161925</xdr:rowOff>
    </xdr:from>
    <xdr:to>
      <xdr:col>18</xdr:col>
      <xdr:colOff>349110</xdr:colOff>
      <xdr:row>15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15A49B-7930-7468-89B9-0D757FB40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810375" y="457200"/>
          <a:ext cx="5197335" cy="3057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20</xdr:row>
      <xdr:rowOff>0</xdr:rowOff>
    </xdr:from>
    <xdr:to>
      <xdr:col>15</xdr:col>
      <xdr:colOff>304800</xdr:colOff>
      <xdr:row>21</xdr:row>
      <xdr:rowOff>114300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36F6BA0D-EFEE-DCA7-7E9A-1DBEA17A58A4}"/>
            </a:ext>
          </a:extLst>
        </xdr:cNvPr>
        <xdr:cNvSpPr>
          <a:spLocks noChangeAspect="1" noChangeArrowheads="1"/>
        </xdr:cNvSpPr>
      </xdr:nvSpPr>
      <xdr:spPr bwMode="auto">
        <a:xfrm>
          <a:off x="11115675" y="44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persons/person14.xml><?xml version="1.0" encoding="utf-8"?>
<personList xmlns="http://schemas.microsoft.com/office/spreadsheetml/2018/threadedcomments" xmlns:x="http://schemas.openxmlformats.org/spreadsheetml/2006/main"/>
</file>

<file path=xl/persons/person15.xml><?xml version="1.0" encoding="utf-8"?>
<personList xmlns="http://schemas.microsoft.com/office/spreadsheetml/2018/threadedcomments" xmlns:x="http://schemas.openxmlformats.org/spreadsheetml/2006/main"/>
</file>

<file path=xl/persons/person16.xml><?xml version="1.0" encoding="utf-8"?>
<personList xmlns="http://schemas.microsoft.com/office/spreadsheetml/2018/threadedcomments" xmlns:x="http://schemas.openxmlformats.org/spreadsheetml/2006/main"/>
</file>

<file path=xl/persons/person17.xml><?xml version="1.0" encoding="utf-8"?>
<personList xmlns="http://schemas.microsoft.com/office/spreadsheetml/2018/threadedcomments" xmlns:x="http://schemas.openxmlformats.org/spreadsheetml/2006/main"/>
</file>

<file path=xl/persons/person18.xml><?xml version="1.0" encoding="utf-8"?>
<personList xmlns="http://schemas.microsoft.com/office/spreadsheetml/2018/threadedcomments" xmlns:x="http://schemas.openxmlformats.org/spreadsheetml/2006/main"/>
</file>

<file path=xl/persons/person19.xml><?xml version="1.0" encoding="utf-8"?>
<personList xmlns="http://schemas.microsoft.com/office/spreadsheetml/2018/threadedcomments" xmlns:x="http://schemas.openxmlformats.org/spreadsheetml/2006/main"/>
</file>

<file path=xl/persons/person20.xml><?xml version="1.0" encoding="utf-8"?>
<personList xmlns="http://schemas.microsoft.com/office/spreadsheetml/2018/threadedcomments" xmlns:x="http://schemas.openxmlformats.org/spreadsheetml/2006/main"/>
</file>

<file path=xl/persons/person21.xml><?xml version="1.0" encoding="utf-8"?>
<personList xmlns="http://schemas.microsoft.com/office/spreadsheetml/2018/threadedcomments" xmlns:x="http://schemas.openxmlformats.org/spreadsheetml/2006/main"/>
</file>

<file path=xl/persons/person22.xml><?xml version="1.0" encoding="utf-8"?>
<personList xmlns="http://schemas.microsoft.com/office/spreadsheetml/2018/threadedcomments" xmlns:x="http://schemas.openxmlformats.org/spreadsheetml/2006/main"/>
</file>

<file path=xl/persons/person23.xml><?xml version="1.0" encoding="utf-8"?>
<personList xmlns="http://schemas.microsoft.com/office/spreadsheetml/2018/threadedcomments" xmlns:x="http://schemas.openxmlformats.org/spreadsheetml/2006/main"/>
</file>

<file path=xl/persons/person24.xml><?xml version="1.0" encoding="utf-8"?>
<personList xmlns="http://schemas.microsoft.com/office/spreadsheetml/2018/threadedcomments" xmlns:x="http://schemas.openxmlformats.org/spreadsheetml/2006/main"/>
</file>

<file path=xl/persons/person25.xml><?xml version="1.0" encoding="utf-8"?>
<personList xmlns="http://schemas.microsoft.com/office/spreadsheetml/2018/threadedcomments" xmlns:x="http://schemas.openxmlformats.org/spreadsheetml/2006/main"/>
</file>

<file path=xl/persons/person26.xml><?xml version="1.0" encoding="utf-8"?>
<personList xmlns="http://schemas.microsoft.com/office/spreadsheetml/2018/threadedcomments" xmlns:x="http://schemas.openxmlformats.org/spreadsheetml/2006/main"/>
</file>

<file path=xl/persons/person27.xml><?xml version="1.0" encoding="utf-8"?>
<personList xmlns="http://schemas.microsoft.com/office/spreadsheetml/2018/threadedcomments" xmlns:x="http://schemas.openxmlformats.org/spreadsheetml/2006/main"/>
</file>

<file path=xl/persons/person28.xml><?xml version="1.0" encoding="utf-8"?>
<personList xmlns="http://schemas.microsoft.com/office/spreadsheetml/2018/threadedcomments" xmlns:x="http://schemas.openxmlformats.org/spreadsheetml/2006/main"/>
</file>

<file path=xl/persons/person29.xml><?xml version="1.0" encoding="utf-8"?>
<personList xmlns="http://schemas.microsoft.com/office/spreadsheetml/2018/threadedcomments" xmlns:x="http://schemas.openxmlformats.org/spreadsheetml/2006/main"/>
</file>

<file path=xl/persons/person30.xml><?xml version="1.0" encoding="utf-8"?>
<personList xmlns="http://schemas.microsoft.com/office/spreadsheetml/2018/threadedcomments" xmlns:x="http://schemas.openxmlformats.org/spreadsheetml/2006/main"/>
</file>

<file path=xl/persons/person31.xml><?xml version="1.0" encoding="utf-8"?>
<personList xmlns="http://schemas.microsoft.com/office/spreadsheetml/2018/threadedcomments" xmlns:x="http://schemas.openxmlformats.org/spreadsheetml/2006/main"/>
</file>

<file path=xl/persons/person32.xml><?xml version="1.0" encoding="utf-8"?>
<personList xmlns="http://schemas.microsoft.com/office/spreadsheetml/2018/threadedcomments" xmlns:x="http://schemas.openxmlformats.org/spreadsheetml/2006/main"/>
</file>

<file path=xl/persons/person33.xml><?xml version="1.0" encoding="utf-8"?>
<personList xmlns="http://schemas.microsoft.com/office/spreadsheetml/2018/threadedcomments" xmlns:x="http://schemas.openxmlformats.org/spreadsheetml/2006/main"/>
</file>

<file path=xl/persons/person34.xml><?xml version="1.0" encoding="utf-8"?>
<personList xmlns="http://schemas.microsoft.com/office/spreadsheetml/2018/threadedcomments" xmlns:x="http://schemas.openxmlformats.org/spreadsheetml/2006/main"/>
</file>

<file path=xl/persons/person35.xml><?xml version="1.0" encoding="utf-8"?>
<personList xmlns="http://schemas.microsoft.com/office/spreadsheetml/2018/threadedcomments" xmlns:x="http://schemas.openxmlformats.org/spreadsheetml/2006/main"/>
</file>

<file path=xl/persons/person36.xml><?xml version="1.0" encoding="utf-8"?>
<personList xmlns="http://schemas.microsoft.com/office/spreadsheetml/2018/threadedcomments" xmlns:x="http://schemas.openxmlformats.org/spreadsheetml/2006/main"/>
</file>

<file path=xl/persons/person37.xml><?xml version="1.0" encoding="utf-8"?>
<personList xmlns="http://schemas.microsoft.com/office/spreadsheetml/2018/threadedcomments" xmlns:x="http://schemas.openxmlformats.org/spreadsheetml/2006/main"/>
</file>

<file path=xl/persons/person38.xml><?xml version="1.0" encoding="utf-8"?>
<personList xmlns="http://schemas.microsoft.com/office/spreadsheetml/2018/threadedcomments" xmlns:x="http://schemas.openxmlformats.org/spreadsheetml/2006/main"/>
</file>

<file path=xl/persons/person39.xml><?xml version="1.0" encoding="utf-8"?>
<personList xmlns="http://schemas.microsoft.com/office/spreadsheetml/2018/threadedcomments" xmlns:x="http://schemas.openxmlformats.org/spreadsheetml/2006/main"/>
</file>

<file path=xl/persons/person40.xml><?xml version="1.0" encoding="utf-8"?>
<personList xmlns="http://schemas.microsoft.com/office/spreadsheetml/2018/threadedcomments" xmlns:x="http://schemas.openxmlformats.org/spreadsheetml/2006/main"/>
</file>

<file path=xl/persons/person41.xml><?xml version="1.0" encoding="utf-8"?>
<personList xmlns="http://schemas.microsoft.com/office/spreadsheetml/2018/threadedcomments" xmlns:x="http://schemas.openxmlformats.org/spreadsheetml/2006/main"/>
</file>

<file path=xl/persons/person42.xml><?xml version="1.0" encoding="utf-8"?>
<personList xmlns="http://schemas.microsoft.com/office/spreadsheetml/2018/threadedcomments" xmlns:x="http://schemas.openxmlformats.org/spreadsheetml/2006/main"/>
</file>

<file path=xl/persons/person43.xml><?xml version="1.0" encoding="utf-8"?>
<personList xmlns="http://schemas.microsoft.com/office/spreadsheetml/2018/threadedcomments" xmlns:x="http://schemas.openxmlformats.org/spreadsheetml/2006/main"/>
</file>

<file path=xl/persons/person44.xml><?xml version="1.0" encoding="utf-8"?>
<personList xmlns="http://schemas.microsoft.com/office/spreadsheetml/2018/threadedcomments" xmlns:x="http://schemas.openxmlformats.org/spreadsheetml/2006/main"/>
</file>

<file path=xl/persons/person45.xml><?xml version="1.0" encoding="utf-8"?>
<personList xmlns="http://schemas.microsoft.com/office/spreadsheetml/2018/threadedcomments" xmlns:x="http://schemas.openxmlformats.org/spreadsheetml/2006/main"/>
</file>

<file path=xl/persons/person46.xml><?xml version="1.0" encoding="utf-8"?>
<personList xmlns="http://schemas.microsoft.com/office/spreadsheetml/2018/threadedcomments" xmlns:x="http://schemas.openxmlformats.org/spreadsheetml/2006/main"/>
</file>

<file path=xl/persons/person47.xml><?xml version="1.0" encoding="utf-8"?>
<personList xmlns="http://schemas.microsoft.com/office/spreadsheetml/2018/threadedcomments" xmlns:x="http://schemas.openxmlformats.org/spreadsheetml/2006/main"/>
</file>

<file path=xl/persons/person48.xml><?xml version="1.0" encoding="utf-8"?>
<personList xmlns="http://schemas.microsoft.com/office/spreadsheetml/2018/threadedcomments" xmlns:x="http://schemas.openxmlformats.org/spreadsheetml/2006/main"/>
</file>

<file path=xl/persons/person49.xml><?xml version="1.0" encoding="utf-8"?>
<personList xmlns="http://schemas.microsoft.com/office/spreadsheetml/2018/threadedcomments" xmlns:x="http://schemas.openxmlformats.org/spreadsheetml/2006/main"/>
</file>

<file path=xl/persons/person50.xml><?xml version="1.0" encoding="utf-8"?>
<personList xmlns="http://schemas.microsoft.com/office/spreadsheetml/2018/threadedcomments" xmlns:x="http://schemas.openxmlformats.org/spreadsheetml/2006/main"/>
</file>

<file path=xl/persons/person51.xml><?xml version="1.0" encoding="utf-8"?>
<personList xmlns="http://schemas.microsoft.com/office/spreadsheetml/2018/threadedcomments" xmlns:x="http://schemas.openxmlformats.org/spreadsheetml/2006/main"/>
</file>

<file path=xl/persons/person52.xml><?xml version="1.0" encoding="utf-8"?>
<personList xmlns="http://schemas.microsoft.com/office/spreadsheetml/2018/threadedcomments" xmlns:x="http://schemas.openxmlformats.org/spreadsheetml/2006/main"/>
</file>

<file path=xl/persons/person53.xml><?xml version="1.0" encoding="utf-8"?>
<personList xmlns="http://schemas.microsoft.com/office/spreadsheetml/2018/threadedcomments" xmlns:x="http://schemas.openxmlformats.org/spreadsheetml/2006/main"/>
</file>

<file path=xl/persons/person54.xml><?xml version="1.0" encoding="utf-8"?>
<personList xmlns="http://schemas.microsoft.com/office/spreadsheetml/2018/threadedcomments" xmlns:x="http://schemas.openxmlformats.org/spreadsheetml/2006/main"/>
</file>

<file path=xl/persons/person55.xml><?xml version="1.0" encoding="utf-8"?>
<personList xmlns="http://schemas.microsoft.com/office/spreadsheetml/2018/threadedcomments" xmlns:x="http://schemas.openxmlformats.org/spreadsheetml/2006/main"/>
</file>

<file path=xl/persons/person56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44B79A-4FE3-4820-8893-476D61B5775A}" name="Table2" displayName="Table2" ref="L3:L10" totalsRowShown="0" headerRowDxfId="10" dataDxfId="8" headerRowBorderDxfId="9">
  <autoFilter ref="L3:L10" xr:uid="{7044B79A-4FE3-4820-8893-476D61B5775A}"/>
  <tableColumns count="1">
    <tableColumn id="1" xr3:uid="{77EA08BD-2959-460E-B21A-DF2A2D877DB3}" name="علت خطا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A880D-90BE-4B84-ABAA-0C20D421521E}">
  <sheetPr codeName="Sheet2">
    <tabColor theme="4" tint="0.59999389629810485"/>
  </sheetPr>
  <dimension ref="D1:AF35"/>
  <sheetViews>
    <sheetView zoomScaleNormal="100" workbookViewId="0">
      <selection activeCell="D2" sqref="D2"/>
    </sheetView>
  </sheetViews>
  <sheetFormatPr defaultRowHeight="15" x14ac:dyDescent="0.25"/>
  <cols>
    <col min="1" max="3" width="1.7109375" customWidth="1"/>
    <col min="4" max="4" width="14.7109375" bestFit="1" customWidth="1"/>
    <col min="5" max="5" width="11" bestFit="1" customWidth="1"/>
    <col min="6" max="6" width="35.28515625" bestFit="1" customWidth="1"/>
    <col min="7" max="9" width="1.7109375" customWidth="1"/>
    <col min="10" max="10" width="17.85546875" bestFit="1" customWidth="1"/>
    <col min="11" max="13" width="1.7109375" customWidth="1"/>
    <col min="14" max="14" width="12.85546875" bestFit="1" customWidth="1"/>
    <col min="15" max="15" width="14.28515625" bestFit="1" customWidth="1"/>
    <col min="16" max="16" width="38" bestFit="1" customWidth="1"/>
    <col min="17" max="19" width="1.7109375" customWidth="1"/>
    <col min="20" max="20" width="17.7109375" bestFit="1" customWidth="1"/>
    <col min="21" max="23" width="1.7109375" customWidth="1"/>
    <col min="24" max="24" width="15.5703125" bestFit="1" customWidth="1"/>
    <col min="25" max="25" width="28.140625" bestFit="1" customWidth="1"/>
  </cols>
  <sheetData>
    <row r="1" spans="4:32" ht="18.95" customHeight="1" x14ac:dyDescent="0.25">
      <c r="D1" s="23" t="s">
        <v>65</v>
      </c>
      <c r="N1" s="23" t="s">
        <v>66</v>
      </c>
      <c r="X1" s="25" t="s">
        <v>74</v>
      </c>
      <c r="Y1" s="25"/>
    </row>
    <row r="2" spans="4:32" ht="18.95" customHeight="1" x14ac:dyDescent="0.5">
      <c r="D2" s="10" t="s">
        <v>33</v>
      </c>
      <c r="E2" s="11" t="s">
        <v>71</v>
      </c>
      <c r="F2" s="10" t="s">
        <v>73</v>
      </c>
      <c r="J2" s="17" t="s">
        <v>57</v>
      </c>
      <c r="N2" s="5" t="s">
        <v>34</v>
      </c>
      <c r="O2" s="12" t="s">
        <v>42</v>
      </c>
      <c r="P2" s="5" t="s">
        <v>43</v>
      </c>
      <c r="T2" s="17" t="s">
        <v>72</v>
      </c>
      <c r="X2" s="22" t="s">
        <v>17</v>
      </c>
      <c r="Y2" s="1" t="s">
        <v>18</v>
      </c>
      <c r="Z2" s="24"/>
    </row>
    <row r="3" spans="4:32" ht="18.95" customHeight="1" x14ac:dyDescent="0.5">
      <c r="D3" s="9" t="s">
        <v>2</v>
      </c>
      <c r="E3" s="2">
        <v>6</v>
      </c>
      <c r="F3" s="2" t="b">
        <f>E3&gt;25</f>
        <v>0</v>
      </c>
      <c r="N3" s="9" t="s">
        <v>35</v>
      </c>
      <c r="O3" s="2">
        <v>39</v>
      </c>
      <c r="P3" s="2" t="b">
        <f>O3&lt;40</f>
        <v>1</v>
      </c>
      <c r="X3" s="3" t="s">
        <v>19</v>
      </c>
      <c r="Y3" s="2" t="s">
        <v>20</v>
      </c>
      <c r="Z3" s="24"/>
    </row>
    <row r="4" spans="4:32" ht="18.95" customHeight="1" x14ac:dyDescent="0.5">
      <c r="D4" s="9" t="s">
        <v>3</v>
      </c>
      <c r="E4" s="2">
        <v>7</v>
      </c>
      <c r="F4" s="2" t="b">
        <f t="shared" ref="F4:F9" si="0">E4&gt;25</f>
        <v>0</v>
      </c>
      <c r="N4" s="9" t="s">
        <v>36</v>
      </c>
      <c r="O4" s="2">
        <v>25</v>
      </c>
      <c r="P4" s="2" t="b">
        <f t="shared" ref="P4:P9" si="1">O4&lt;40</f>
        <v>1</v>
      </c>
      <c r="X4" s="22" t="s">
        <v>21</v>
      </c>
      <c r="Y4" s="1" t="s">
        <v>22</v>
      </c>
      <c r="Z4" s="24"/>
    </row>
    <row r="5" spans="4:32" ht="18.95" customHeight="1" x14ac:dyDescent="0.5">
      <c r="D5" s="9" t="s">
        <v>4</v>
      </c>
      <c r="E5" s="2">
        <v>12</v>
      </c>
      <c r="F5" s="2" t="b">
        <f t="shared" si="0"/>
        <v>0</v>
      </c>
      <c r="N5" s="9" t="s">
        <v>37</v>
      </c>
      <c r="O5" s="2">
        <v>49</v>
      </c>
      <c r="P5" s="2" t="b">
        <f t="shared" si="1"/>
        <v>0</v>
      </c>
      <c r="X5" s="3" t="s">
        <v>23</v>
      </c>
      <c r="Y5" s="2" t="s">
        <v>24</v>
      </c>
      <c r="Z5" s="24"/>
    </row>
    <row r="6" spans="4:32" ht="18.95" customHeight="1" x14ac:dyDescent="0.5">
      <c r="D6" s="9" t="s">
        <v>5</v>
      </c>
      <c r="E6" s="2">
        <v>15</v>
      </c>
      <c r="F6" s="2" t="b">
        <f t="shared" si="0"/>
        <v>0</v>
      </c>
      <c r="N6" s="9" t="s">
        <v>38</v>
      </c>
      <c r="O6" s="2">
        <v>53</v>
      </c>
      <c r="P6" s="2" t="b">
        <f t="shared" si="1"/>
        <v>0</v>
      </c>
      <c r="X6" s="22" t="s">
        <v>25</v>
      </c>
      <c r="Y6" s="1" t="s">
        <v>26</v>
      </c>
      <c r="Z6" s="24"/>
    </row>
    <row r="7" spans="4:32" ht="18.95" customHeight="1" x14ac:dyDescent="0.5">
      <c r="D7" s="9" t="s">
        <v>6</v>
      </c>
      <c r="E7" s="2">
        <v>28</v>
      </c>
      <c r="F7" s="2" t="b">
        <f t="shared" si="0"/>
        <v>1</v>
      </c>
      <c r="N7" s="9" t="s">
        <v>39</v>
      </c>
      <c r="O7" s="2">
        <v>110</v>
      </c>
      <c r="P7" s="2" t="b">
        <f t="shared" si="1"/>
        <v>0</v>
      </c>
      <c r="X7" s="3" t="s">
        <v>27</v>
      </c>
      <c r="Y7" s="2" t="s">
        <v>28</v>
      </c>
      <c r="Z7" s="24"/>
    </row>
    <row r="8" spans="4:32" ht="18.95" customHeight="1" x14ac:dyDescent="0.5">
      <c r="D8" s="9" t="s">
        <v>7</v>
      </c>
      <c r="E8" s="2">
        <v>31</v>
      </c>
      <c r="F8" s="2" t="b">
        <f t="shared" si="0"/>
        <v>1</v>
      </c>
      <c r="N8" s="9" t="s">
        <v>40</v>
      </c>
      <c r="O8" s="2">
        <v>180</v>
      </c>
      <c r="P8" s="2" t="b">
        <f t="shared" si="1"/>
        <v>0</v>
      </c>
      <c r="X8" s="22" t="s">
        <v>29</v>
      </c>
      <c r="Y8" s="1" t="s">
        <v>30</v>
      </c>
      <c r="Z8" s="24"/>
    </row>
    <row r="9" spans="4:32" ht="18.95" customHeight="1" x14ac:dyDescent="0.5">
      <c r="D9" s="9" t="s">
        <v>8</v>
      </c>
      <c r="E9" s="2">
        <v>36</v>
      </c>
      <c r="F9" s="2" t="b">
        <f t="shared" si="0"/>
        <v>1</v>
      </c>
      <c r="N9" s="9" t="s">
        <v>41</v>
      </c>
      <c r="O9" s="2">
        <v>135</v>
      </c>
      <c r="P9" s="2" t="b">
        <f t="shared" si="1"/>
        <v>0</v>
      </c>
      <c r="X9" s="3" t="s">
        <v>31</v>
      </c>
      <c r="Y9" s="2" t="s">
        <v>32</v>
      </c>
      <c r="Z9" s="24"/>
    </row>
    <row r="10" spans="4:32" ht="5.0999999999999996" customHeight="1" x14ac:dyDescent="0.5">
      <c r="D10" s="18"/>
      <c r="E10" s="6"/>
      <c r="N10" s="18"/>
      <c r="O10" s="6"/>
    </row>
    <row r="11" spans="4:32" ht="5.0999999999999996" customHeight="1" x14ac:dyDescent="0.5">
      <c r="D11" s="18"/>
      <c r="E11" s="6"/>
      <c r="N11" s="18"/>
      <c r="O11" s="6"/>
    </row>
    <row r="12" spans="4:32" ht="5.0999999999999996" customHeight="1" x14ac:dyDescent="0.5">
      <c r="D12" s="18"/>
      <c r="E12" s="6"/>
      <c r="N12" s="18"/>
      <c r="O12" s="6"/>
    </row>
    <row r="13" spans="4:32" ht="5.0999999999999996" customHeight="1" x14ac:dyDescent="0.25"/>
    <row r="14" spans="4:32" ht="18.95" customHeight="1" x14ac:dyDescent="0.25">
      <c r="D14" s="23" t="s">
        <v>67</v>
      </c>
      <c r="N14" s="23" t="s">
        <v>68</v>
      </c>
    </row>
    <row r="15" spans="4:32" ht="18.95" customHeight="1" x14ac:dyDescent="0.5">
      <c r="D15" s="13" t="s">
        <v>0</v>
      </c>
      <c r="E15" s="14" t="s">
        <v>9</v>
      </c>
      <c r="F15" s="13" t="s">
        <v>75</v>
      </c>
      <c r="J15" s="17" t="s">
        <v>64</v>
      </c>
      <c r="N15" s="1" t="s">
        <v>44</v>
      </c>
      <c r="O15" s="8" t="s">
        <v>45</v>
      </c>
      <c r="P15" s="1" t="s">
        <v>76</v>
      </c>
      <c r="T15" s="17" t="s">
        <v>59</v>
      </c>
      <c r="AF15" s="6"/>
    </row>
    <row r="16" spans="4:32" ht="18.95" customHeight="1" x14ac:dyDescent="0.5">
      <c r="D16" s="9" t="s">
        <v>10</v>
      </c>
      <c r="E16" s="2">
        <v>18</v>
      </c>
      <c r="F16" s="2" t="b">
        <f>AND(E16&gt;20,E16&lt;50)</f>
        <v>0</v>
      </c>
      <c r="N16" s="9" t="s">
        <v>46</v>
      </c>
      <c r="O16" s="15">
        <v>0.23</v>
      </c>
      <c r="P16" s="2" t="b">
        <f>O16=100%</f>
        <v>0</v>
      </c>
      <c r="X16" s="7"/>
      <c r="Y16" s="6"/>
      <c r="AF16" s="6"/>
    </row>
    <row r="17" spans="4:20" ht="18.95" customHeight="1" x14ac:dyDescent="0.5">
      <c r="D17" s="9" t="s">
        <v>11</v>
      </c>
      <c r="E17" s="2">
        <v>15</v>
      </c>
      <c r="F17" s="2" t="b">
        <f t="shared" ref="F17:F22" si="2">AND(E17&gt;20,E17&lt;50)</f>
        <v>0</v>
      </c>
      <c r="N17" s="9" t="s">
        <v>47</v>
      </c>
      <c r="O17" s="15">
        <v>0.19</v>
      </c>
      <c r="P17" s="2" t="b">
        <f t="shared" ref="P17:P22" si="3">O17=100%</f>
        <v>0</v>
      </c>
    </row>
    <row r="18" spans="4:20" ht="18.95" customHeight="1" x14ac:dyDescent="0.5">
      <c r="D18" s="9" t="s">
        <v>12</v>
      </c>
      <c r="E18" s="2">
        <v>25</v>
      </c>
      <c r="F18" s="2" t="b">
        <f t="shared" si="2"/>
        <v>1</v>
      </c>
      <c r="N18" s="9" t="s">
        <v>48</v>
      </c>
      <c r="O18" s="15">
        <v>0.35</v>
      </c>
      <c r="P18" s="2" t="b">
        <f t="shared" si="3"/>
        <v>0</v>
      </c>
    </row>
    <row r="19" spans="4:20" ht="18.95" customHeight="1" x14ac:dyDescent="0.5">
      <c r="D19" s="9" t="s">
        <v>13</v>
      </c>
      <c r="E19" s="2">
        <v>30</v>
      </c>
      <c r="F19" s="2" t="b">
        <f t="shared" si="2"/>
        <v>1</v>
      </c>
      <c r="N19" s="9" t="s">
        <v>50</v>
      </c>
      <c r="O19" s="15">
        <v>0.59</v>
      </c>
      <c r="P19" s="2" t="b">
        <f t="shared" si="3"/>
        <v>0</v>
      </c>
    </row>
    <row r="20" spans="4:20" ht="18.95" customHeight="1" x14ac:dyDescent="0.5">
      <c r="D20" s="9" t="s">
        <v>14</v>
      </c>
      <c r="E20" s="2">
        <v>49</v>
      </c>
      <c r="F20" s="2" t="b">
        <f t="shared" si="2"/>
        <v>1</v>
      </c>
      <c r="N20" s="9" t="s">
        <v>51</v>
      </c>
      <c r="O20" s="15">
        <v>0.63</v>
      </c>
      <c r="P20" s="2" t="b">
        <f t="shared" si="3"/>
        <v>0</v>
      </c>
    </row>
    <row r="21" spans="4:20" ht="18.95" customHeight="1" x14ac:dyDescent="0.5">
      <c r="D21" s="9" t="s">
        <v>15</v>
      </c>
      <c r="E21" s="2">
        <v>55</v>
      </c>
      <c r="F21" s="2" t="b">
        <f t="shared" si="2"/>
        <v>0</v>
      </c>
      <c r="N21" s="9" t="s">
        <v>49</v>
      </c>
      <c r="O21" s="15">
        <v>1</v>
      </c>
      <c r="P21" s="2" t="b">
        <f t="shared" si="3"/>
        <v>1</v>
      </c>
    </row>
    <row r="22" spans="4:20" ht="18.95" customHeight="1" x14ac:dyDescent="0.5">
      <c r="D22" s="9" t="s">
        <v>16</v>
      </c>
      <c r="E22" s="2">
        <v>65</v>
      </c>
      <c r="F22" s="2" t="b">
        <f t="shared" si="2"/>
        <v>0</v>
      </c>
      <c r="N22" s="9" t="s">
        <v>52</v>
      </c>
      <c r="O22" s="15">
        <v>1</v>
      </c>
      <c r="P22" s="2" t="b">
        <f t="shared" si="3"/>
        <v>1</v>
      </c>
    </row>
    <row r="23" spans="4:20" ht="5.0999999999999996" customHeight="1" x14ac:dyDescent="0.5">
      <c r="D23" s="18"/>
      <c r="E23" s="6"/>
      <c r="N23" s="18"/>
      <c r="O23" s="19"/>
    </row>
    <row r="24" spans="4:20" ht="5.0999999999999996" customHeight="1" x14ac:dyDescent="0.5">
      <c r="D24" s="18"/>
      <c r="E24" s="6"/>
      <c r="N24" s="18"/>
      <c r="O24" s="19"/>
    </row>
    <row r="25" spans="4:20" ht="5.0999999999999996" customHeight="1" x14ac:dyDescent="0.5">
      <c r="D25" s="18"/>
      <c r="E25" s="6"/>
      <c r="N25" s="18"/>
      <c r="O25" s="19"/>
    </row>
    <row r="26" spans="4:20" ht="5.0999999999999996" customHeight="1" x14ac:dyDescent="0.5">
      <c r="D26" s="18"/>
      <c r="E26" s="6"/>
      <c r="N26" s="18"/>
      <c r="O26" s="19"/>
    </row>
    <row r="27" spans="4:20" ht="18.95" customHeight="1" x14ac:dyDescent="0.25">
      <c r="D27" s="23" t="s">
        <v>69</v>
      </c>
      <c r="N27" s="23" t="s">
        <v>70</v>
      </c>
    </row>
    <row r="28" spans="4:20" ht="18.75" x14ac:dyDescent="0.5">
      <c r="D28" s="20" t="s">
        <v>1</v>
      </c>
      <c r="E28" s="21" t="s">
        <v>54</v>
      </c>
      <c r="F28" s="20" t="s">
        <v>53</v>
      </c>
      <c r="J28" s="16" t="s">
        <v>58</v>
      </c>
      <c r="N28" s="13" t="s">
        <v>60</v>
      </c>
      <c r="O28" s="14" t="s">
        <v>61</v>
      </c>
      <c r="P28" s="13" t="s">
        <v>62</v>
      </c>
      <c r="T28" s="17" t="s">
        <v>63</v>
      </c>
    </row>
    <row r="29" spans="4:20" ht="18.75" x14ac:dyDescent="0.5">
      <c r="D29" s="9" t="s">
        <v>2</v>
      </c>
      <c r="E29" s="2">
        <v>100</v>
      </c>
      <c r="F29" s="2" t="b">
        <f>OR(E29="A",E29=100)</f>
        <v>1</v>
      </c>
      <c r="N29" s="9" t="s">
        <v>2</v>
      </c>
      <c r="O29" s="4">
        <v>5700000</v>
      </c>
      <c r="P29" s="4" t="b">
        <f>O29&gt;5000000</f>
        <v>1</v>
      </c>
    </row>
    <row r="30" spans="4:20" ht="18.75" x14ac:dyDescent="0.5">
      <c r="D30" s="9" t="s">
        <v>3</v>
      </c>
      <c r="E30" s="2">
        <v>59</v>
      </c>
      <c r="F30" s="2" t="b">
        <f t="shared" ref="F30:F35" si="4">OR(E30="A",E30=100)</f>
        <v>0</v>
      </c>
      <c r="N30" s="9" t="s">
        <v>3</v>
      </c>
      <c r="O30" s="4">
        <v>7500000</v>
      </c>
      <c r="P30" s="4" t="b">
        <f t="shared" ref="P30:P35" si="5">O30&gt;5000000</f>
        <v>1</v>
      </c>
    </row>
    <row r="31" spans="4:20" ht="18.75" x14ac:dyDescent="0.5">
      <c r="D31" s="9" t="s">
        <v>4</v>
      </c>
      <c r="E31" s="2" t="s">
        <v>55</v>
      </c>
      <c r="F31" s="2" t="b">
        <f t="shared" si="4"/>
        <v>1</v>
      </c>
      <c r="N31" s="9" t="s">
        <v>4</v>
      </c>
      <c r="O31" s="4">
        <v>2100000</v>
      </c>
      <c r="P31" s="4" t="b">
        <f t="shared" si="5"/>
        <v>0</v>
      </c>
    </row>
    <row r="32" spans="4:20" ht="18.75" x14ac:dyDescent="0.5">
      <c r="D32" s="9" t="s">
        <v>5</v>
      </c>
      <c r="E32" s="2" t="s">
        <v>56</v>
      </c>
      <c r="F32" s="2" t="b">
        <f t="shared" si="4"/>
        <v>0</v>
      </c>
      <c r="N32" s="9" t="s">
        <v>5</v>
      </c>
      <c r="O32" s="4">
        <v>7700000</v>
      </c>
      <c r="P32" s="4" t="b">
        <f t="shared" si="5"/>
        <v>1</v>
      </c>
    </row>
    <row r="33" spans="4:16" ht="18.75" x14ac:dyDescent="0.5">
      <c r="D33" s="9" t="s">
        <v>6</v>
      </c>
      <c r="E33" s="2">
        <v>63</v>
      </c>
      <c r="F33" s="2" t="b">
        <f t="shared" si="4"/>
        <v>0</v>
      </c>
      <c r="N33" s="9" t="s">
        <v>6</v>
      </c>
      <c r="O33" s="4">
        <v>3200000</v>
      </c>
      <c r="P33" s="4" t="b">
        <f t="shared" si="5"/>
        <v>0</v>
      </c>
    </row>
    <row r="34" spans="4:16" ht="18.75" x14ac:dyDescent="0.5">
      <c r="D34" s="9" t="s">
        <v>7</v>
      </c>
      <c r="E34" s="2" t="s">
        <v>55</v>
      </c>
      <c r="F34" s="2" t="b">
        <f t="shared" si="4"/>
        <v>1</v>
      </c>
      <c r="N34" s="9" t="s">
        <v>7</v>
      </c>
      <c r="O34" s="4">
        <v>2000000</v>
      </c>
      <c r="P34" s="4" t="b">
        <f t="shared" si="5"/>
        <v>0</v>
      </c>
    </row>
    <row r="35" spans="4:16" ht="18.75" x14ac:dyDescent="0.5">
      <c r="D35" s="9" t="s">
        <v>8</v>
      </c>
      <c r="E35" s="2">
        <v>36</v>
      </c>
      <c r="F35" s="2" t="b">
        <f t="shared" si="4"/>
        <v>0</v>
      </c>
      <c r="N35" s="9" t="s">
        <v>8</v>
      </c>
      <c r="O35" s="4">
        <v>8600000</v>
      </c>
      <c r="P35" s="4" t="b">
        <f t="shared" si="5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1E67A-17A6-46A6-A88F-3CD628F1AF9E}">
  <sheetPr>
    <tabColor theme="9" tint="0.59999389629810485"/>
  </sheetPr>
  <dimension ref="D1:U26"/>
  <sheetViews>
    <sheetView tabSelected="1" zoomScaleNormal="100" workbookViewId="0">
      <selection activeCell="Q14" sqref="Q14"/>
    </sheetView>
  </sheetViews>
  <sheetFormatPr defaultRowHeight="15" x14ac:dyDescent="0.25"/>
  <cols>
    <col min="1" max="3" width="1.7109375" customWidth="1"/>
    <col min="4" max="4" width="14.7109375" bestFit="1" customWidth="1"/>
    <col min="5" max="5" width="30" bestFit="1" customWidth="1"/>
    <col min="6" max="8" width="1.7109375" customWidth="1"/>
    <col min="9" max="9" width="12.85546875" bestFit="1" customWidth="1"/>
    <col min="10" max="10" width="25" bestFit="1" customWidth="1"/>
    <col min="11" max="13" width="1.7109375" customWidth="1"/>
    <col min="14" max="14" width="14.7109375" bestFit="1" customWidth="1"/>
    <col min="15" max="15" width="27.85546875" bestFit="1" customWidth="1"/>
    <col min="17" max="18" width="23" customWidth="1"/>
  </cols>
  <sheetData>
    <row r="1" spans="4:21" ht="18.95" customHeight="1" x14ac:dyDescent="0.25">
      <c r="D1" s="29" t="s">
        <v>65</v>
      </c>
      <c r="E1" s="30"/>
      <c r="I1" s="29" t="s">
        <v>66</v>
      </c>
      <c r="J1" s="30"/>
      <c r="N1" s="29" t="s">
        <v>67</v>
      </c>
      <c r="O1" s="30"/>
      <c r="Q1" s="25" t="s">
        <v>74</v>
      </c>
      <c r="R1" s="25"/>
    </row>
    <row r="2" spans="4:21" ht="18.95" customHeight="1" x14ac:dyDescent="0.5">
      <c r="D2" s="10" t="s">
        <v>33</v>
      </c>
      <c r="E2" s="11" t="s">
        <v>124</v>
      </c>
      <c r="I2" s="5" t="s">
        <v>34</v>
      </c>
      <c r="J2" s="12" t="s">
        <v>125</v>
      </c>
      <c r="N2" s="13" t="s">
        <v>0</v>
      </c>
      <c r="O2" s="14" t="s">
        <v>126</v>
      </c>
      <c r="Q2" s="22" t="s">
        <v>17</v>
      </c>
      <c r="R2" s="1" t="s">
        <v>18</v>
      </c>
    </row>
    <row r="3" spans="4:21" ht="18.95" customHeight="1" x14ac:dyDescent="0.5">
      <c r="D3" s="9" t="s">
        <v>2</v>
      </c>
      <c r="E3" s="2"/>
      <c r="I3" s="9" t="s">
        <v>127</v>
      </c>
      <c r="J3" s="2"/>
      <c r="N3" s="9" t="s">
        <v>11</v>
      </c>
      <c r="O3" s="2" t="s">
        <v>78</v>
      </c>
      <c r="Q3" s="3" t="s">
        <v>19</v>
      </c>
      <c r="R3" s="2" t="s">
        <v>20</v>
      </c>
      <c r="T3" s="31"/>
      <c r="U3" s="31"/>
    </row>
    <row r="4" spans="4:21" ht="18.95" customHeight="1" x14ac:dyDescent="0.5">
      <c r="D4" s="9" t="s">
        <v>3</v>
      </c>
      <c r="E4" s="2"/>
      <c r="I4" s="9" t="s">
        <v>128</v>
      </c>
      <c r="J4" s="2"/>
      <c r="N4" s="9" t="s">
        <v>129</v>
      </c>
      <c r="O4" s="2" t="s">
        <v>78</v>
      </c>
      <c r="Q4" s="22" t="s">
        <v>21</v>
      </c>
      <c r="R4" s="1" t="s">
        <v>22</v>
      </c>
      <c r="T4" s="32"/>
    </row>
    <row r="5" spans="4:21" ht="18.95" customHeight="1" x14ac:dyDescent="0.5">
      <c r="D5" s="9" t="s">
        <v>4</v>
      </c>
      <c r="E5" s="2"/>
      <c r="I5" s="9" t="s">
        <v>130</v>
      </c>
      <c r="J5" s="2"/>
      <c r="N5" s="9" t="s">
        <v>12</v>
      </c>
      <c r="O5" s="2" t="s">
        <v>77</v>
      </c>
      <c r="Q5" s="3" t="s">
        <v>23</v>
      </c>
      <c r="R5" s="2" t="s">
        <v>24</v>
      </c>
    </row>
    <row r="6" spans="4:21" ht="18.95" customHeight="1" x14ac:dyDescent="0.5">
      <c r="D6" s="9" t="s">
        <v>5</v>
      </c>
      <c r="E6" s="2"/>
      <c r="I6" s="9" t="s">
        <v>131</v>
      </c>
      <c r="J6" s="2"/>
      <c r="N6" s="9" t="s">
        <v>13</v>
      </c>
      <c r="O6" s="2" t="s">
        <v>78</v>
      </c>
      <c r="Q6" s="22" t="s">
        <v>25</v>
      </c>
      <c r="R6" s="1" t="s">
        <v>26</v>
      </c>
    </row>
    <row r="7" spans="4:21" ht="18.95" customHeight="1" x14ac:dyDescent="0.5">
      <c r="D7" s="9" t="s">
        <v>6</v>
      </c>
      <c r="E7" s="2"/>
      <c r="I7" s="9" t="s">
        <v>132</v>
      </c>
      <c r="J7" s="2"/>
      <c r="N7" s="9" t="s">
        <v>133</v>
      </c>
      <c r="O7" s="2" t="s">
        <v>78</v>
      </c>
      <c r="Q7" s="3" t="s">
        <v>27</v>
      </c>
      <c r="R7" s="2" t="s">
        <v>28</v>
      </c>
    </row>
    <row r="8" spans="4:21" ht="18.95" customHeight="1" x14ac:dyDescent="0.5">
      <c r="D8" s="9" t="s">
        <v>7</v>
      </c>
      <c r="E8" s="2"/>
      <c r="I8" s="9" t="s">
        <v>134</v>
      </c>
      <c r="J8" s="2"/>
      <c r="N8" s="9" t="s">
        <v>15</v>
      </c>
      <c r="O8" s="2" t="s">
        <v>78</v>
      </c>
      <c r="Q8" s="22" t="s">
        <v>29</v>
      </c>
      <c r="R8" s="1" t="s">
        <v>30</v>
      </c>
    </row>
    <row r="9" spans="4:21" ht="18.95" customHeight="1" x14ac:dyDescent="0.5">
      <c r="D9" s="9" t="s">
        <v>8</v>
      </c>
      <c r="E9" s="2"/>
      <c r="I9" s="9" t="s">
        <v>135</v>
      </c>
      <c r="J9" s="2"/>
      <c r="N9" s="9" t="s">
        <v>16</v>
      </c>
      <c r="O9" s="2" t="s">
        <v>78</v>
      </c>
      <c r="Q9" s="3" t="s">
        <v>31</v>
      </c>
      <c r="R9" s="2" t="s">
        <v>32</v>
      </c>
    </row>
    <row r="10" spans="4:21" ht="5.0999999999999996" customHeight="1" x14ac:dyDescent="0.5">
      <c r="D10" s="18"/>
      <c r="E10" s="6"/>
      <c r="I10" s="18"/>
      <c r="J10" s="6"/>
      <c r="N10" s="18"/>
      <c r="O10" s="6"/>
    </row>
    <row r="11" spans="4:21" ht="5.0999999999999996" customHeight="1" x14ac:dyDescent="0.5">
      <c r="D11" s="18"/>
      <c r="E11" s="6"/>
      <c r="I11" s="18"/>
      <c r="J11" s="6"/>
      <c r="N11" s="18"/>
      <c r="O11" s="6"/>
    </row>
    <row r="12" spans="4:21" ht="5.0999999999999996" customHeight="1" x14ac:dyDescent="0.5">
      <c r="D12" s="18"/>
      <c r="E12" s="6"/>
      <c r="I12" s="18"/>
      <c r="J12" s="6"/>
      <c r="N12" s="18"/>
      <c r="O12" s="6"/>
    </row>
    <row r="13" spans="4:21" ht="5.0999999999999996" customHeight="1" x14ac:dyDescent="0.25"/>
    <row r="14" spans="4:21" ht="18.95" customHeight="1" x14ac:dyDescent="0.25">
      <c r="D14" s="29" t="s">
        <v>68</v>
      </c>
      <c r="I14" s="29" t="s">
        <v>69</v>
      </c>
      <c r="Q14" t="s">
        <v>136</v>
      </c>
    </row>
    <row r="15" spans="4:21" ht="18.95" customHeight="1" x14ac:dyDescent="0.5">
      <c r="D15" s="1" t="s">
        <v>60</v>
      </c>
      <c r="E15" s="8" t="s">
        <v>137</v>
      </c>
      <c r="I15" s="13" t="s">
        <v>60</v>
      </c>
      <c r="J15" s="14" t="s">
        <v>138</v>
      </c>
      <c r="T15" s="6"/>
    </row>
    <row r="16" spans="4:21" ht="18.95" customHeight="1" x14ac:dyDescent="0.5">
      <c r="D16" s="9" t="s">
        <v>2</v>
      </c>
      <c r="E16" s="33">
        <v>0.35069444444444442</v>
      </c>
      <c r="I16" s="9" t="s">
        <v>7</v>
      </c>
      <c r="J16" s="34" t="s">
        <v>139</v>
      </c>
      <c r="Q16" s="35"/>
      <c r="R16" s="35"/>
      <c r="T16" s="6"/>
    </row>
    <row r="17" spans="4:15" ht="18.95" customHeight="1" x14ac:dyDescent="0.5">
      <c r="D17" s="9" t="s">
        <v>3</v>
      </c>
      <c r="E17" s="33">
        <v>0.66666666666666663</v>
      </c>
      <c r="I17" s="9" t="s">
        <v>4</v>
      </c>
      <c r="J17" s="34" t="s">
        <v>140</v>
      </c>
    </row>
    <row r="18" spans="4:15" ht="18.95" customHeight="1" x14ac:dyDescent="0.5">
      <c r="D18" s="9" t="s">
        <v>4</v>
      </c>
      <c r="E18" s="33">
        <v>0.36458333333333331</v>
      </c>
      <c r="I18" s="9" t="s">
        <v>6</v>
      </c>
      <c r="J18" s="34" t="s">
        <v>141</v>
      </c>
    </row>
    <row r="19" spans="4:15" ht="18.95" customHeight="1" x14ac:dyDescent="0.5">
      <c r="D19" s="9" t="s">
        <v>5</v>
      </c>
      <c r="E19" s="33">
        <v>0.39930555555555558</v>
      </c>
      <c r="I19" s="9" t="s">
        <v>2</v>
      </c>
      <c r="J19" s="34" t="s">
        <v>142</v>
      </c>
    </row>
    <row r="20" spans="4:15" ht="18.95" customHeight="1" x14ac:dyDescent="0.5">
      <c r="D20" s="9" t="s">
        <v>6</v>
      </c>
      <c r="E20" s="33">
        <v>0.43402777777777773</v>
      </c>
      <c r="I20" s="9" t="s">
        <v>3</v>
      </c>
      <c r="J20" s="34" t="s">
        <v>139</v>
      </c>
    </row>
    <row r="21" spans="4:15" ht="18.95" customHeight="1" x14ac:dyDescent="0.5">
      <c r="D21" s="9" t="s">
        <v>7</v>
      </c>
      <c r="E21" s="33">
        <v>0.5541666666666667</v>
      </c>
      <c r="I21" s="9" t="s">
        <v>5</v>
      </c>
      <c r="J21" s="34" t="s">
        <v>140</v>
      </c>
    </row>
    <row r="22" spans="4:15" ht="18.95" customHeight="1" x14ac:dyDescent="0.5">
      <c r="D22" s="9" t="s">
        <v>8</v>
      </c>
      <c r="E22" s="33">
        <v>0.55902777777777779</v>
      </c>
      <c r="I22" s="9" t="s">
        <v>8</v>
      </c>
      <c r="J22" s="34" t="s">
        <v>141</v>
      </c>
    </row>
    <row r="23" spans="4:15" ht="5.0999999999999996" customHeight="1" x14ac:dyDescent="0.5">
      <c r="D23" s="18"/>
      <c r="E23" s="6"/>
      <c r="I23" s="18"/>
      <c r="J23" s="19"/>
      <c r="N23" s="18"/>
      <c r="O23" s="6"/>
    </row>
    <row r="24" spans="4:15" ht="5.0999999999999996" customHeight="1" x14ac:dyDescent="0.5">
      <c r="D24" s="18"/>
      <c r="E24" s="6"/>
      <c r="I24" s="18"/>
      <c r="J24" s="19"/>
      <c r="N24" s="18"/>
      <c r="O24" s="6"/>
    </row>
    <row r="25" spans="4:15" ht="5.0999999999999996" customHeight="1" x14ac:dyDescent="0.5">
      <c r="D25" s="18"/>
      <c r="E25" s="6"/>
      <c r="I25" s="18"/>
      <c r="J25" s="19"/>
      <c r="N25" s="18"/>
      <c r="O25" s="6"/>
    </row>
    <row r="26" spans="4:15" ht="5.0999999999999996" customHeight="1" x14ac:dyDescent="0.5">
      <c r="D26" s="18"/>
      <c r="E26" s="6"/>
      <c r="I26" s="18"/>
      <c r="J26" s="19"/>
      <c r="N26" s="18"/>
      <c r="O26" s="6"/>
    </row>
  </sheetData>
  <dataValidations count="3">
    <dataValidation type="textLength" operator="equal" allowBlank="1" showInputMessage="1" showErrorMessage="1" sqref="J16:J22" xr:uid="{5171A5E6-1133-4DC4-958A-05684218D68E}">
      <formula1>10</formula1>
    </dataValidation>
    <dataValidation type="time" allowBlank="1" showInputMessage="1" showErrorMessage="1" sqref="E16:E22" xr:uid="{720FCB83-7EE0-4B6E-A698-67BED25C23CB}">
      <formula1>0.333333333333333</formula1>
      <formula2>0.666666666666667</formula2>
    </dataValidation>
    <dataValidation type="list" allowBlank="1" showInputMessage="1" showErrorMessage="1" sqref="O3:O9" xr:uid="{6108B864-30A8-442A-888C-EE389E84F9E4}">
      <formula1>"موجود,ناموجود"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86945-AE22-4E01-B779-C0A5CFA4FE86}">
  <sheetPr>
    <tabColor theme="9" tint="0.59999389629810485"/>
  </sheetPr>
  <dimension ref="B1:P20"/>
  <sheetViews>
    <sheetView zoomScaleNormal="100" workbookViewId="0">
      <selection activeCell="D9" sqref="D9"/>
    </sheetView>
  </sheetViews>
  <sheetFormatPr defaultRowHeight="15" x14ac:dyDescent="0.25"/>
  <cols>
    <col min="1" max="1" width="3.7109375" customWidth="1"/>
    <col min="2" max="2" width="11.5703125" customWidth="1"/>
    <col min="3" max="3" width="8.28515625" customWidth="1"/>
    <col min="4" max="4" width="17.85546875" customWidth="1"/>
    <col min="5" max="5" width="13.7109375" bestFit="1" customWidth="1"/>
    <col min="6" max="6" width="7.85546875" customWidth="1"/>
    <col min="7" max="7" width="18.85546875" customWidth="1"/>
    <col min="8" max="8" width="15.28515625" customWidth="1"/>
    <col min="9" max="9" width="9.5703125" customWidth="1"/>
    <col min="10" max="10" width="3.7109375" customWidth="1"/>
    <col min="11" max="11" width="13.42578125" bestFit="1" customWidth="1"/>
    <col min="13" max="13" width="16.7109375" customWidth="1"/>
    <col min="14" max="14" width="6.85546875" bestFit="1" customWidth="1"/>
  </cols>
  <sheetData>
    <row r="1" spans="2:16" ht="5.0999999999999996" customHeight="1" x14ac:dyDescent="0.25"/>
    <row r="2" spans="2:16" ht="18.75" x14ac:dyDescent="0.25">
      <c r="B2" s="49" t="s">
        <v>105</v>
      </c>
      <c r="C2" s="49" t="s">
        <v>79</v>
      </c>
      <c r="D2" s="49" t="s">
        <v>80</v>
      </c>
      <c r="E2" s="49" t="s">
        <v>0</v>
      </c>
      <c r="F2" s="49" t="s">
        <v>81</v>
      </c>
      <c r="G2" s="49" t="s">
        <v>82</v>
      </c>
      <c r="H2" s="49" t="s">
        <v>83</v>
      </c>
      <c r="I2" s="49" t="s">
        <v>84</v>
      </c>
      <c r="K2" s="40"/>
      <c r="O2" s="40"/>
      <c r="P2" s="40"/>
    </row>
    <row r="3" spans="2:16" ht="18.75" x14ac:dyDescent="0.25">
      <c r="B3" s="50">
        <v>101</v>
      </c>
      <c r="C3" s="49" t="s">
        <v>85</v>
      </c>
      <c r="D3" s="49" t="s">
        <v>86</v>
      </c>
      <c r="E3" s="49" t="s">
        <v>87</v>
      </c>
      <c r="F3" s="49">
        <v>20</v>
      </c>
      <c r="G3" s="50">
        <v>4500</v>
      </c>
      <c r="H3" s="50">
        <v>90000</v>
      </c>
      <c r="I3" s="49" t="s">
        <v>78</v>
      </c>
    </row>
    <row r="4" spans="2:16" ht="18.75" x14ac:dyDescent="0.25">
      <c r="B4" s="50">
        <v>102</v>
      </c>
      <c r="C4" s="49" t="s">
        <v>88</v>
      </c>
      <c r="D4" s="49" t="s">
        <v>89</v>
      </c>
      <c r="E4" s="49" t="s">
        <v>100</v>
      </c>
      <c r="F4" s="49">
        <v>19</v>
      </c>
      <c r="G4" s="50">
        <v>1300</v>
      </c>
      <c r="H4" s="50">
        <v>24700</v>
      </c>
      <c r="I4" s="49" t="s">
        <v>77</v>
      </c>
    </row>
    <row r="5" spans="2:16" ht="18.75" x14ac:dyDescent="0.25">
      <c r="B5" s="50">
        <v>103</v>
      </c>
      <c r="C5" s="49" t="s">
        <v>88</v>
      </c>
      <c r="D5" s="49" t="s">
        <v>91</v>
      </c>
      <c r="E5" s="49" t="s">
        <v>87</v>
      </c>
      <c r="F5" s="49">
        <v>28</v>
      </c>
      <c r="G5" s="50">
        <v>2000</v>
      </c>
      <c r="H5" s="50">
        <v>56000</v>
      </c>
      <c r="I5" s="49" t="s">
        <v>78</v>
      </c>
      <c r="L5" s="38"/>
    </row>
    <row r="6" spans="2:16" ht="18.75" x14ac:dyDescent="0.25">
      <c r="B6" s="50">
        <v>104</v>
      </c>
      <c r="C6" s="49" t="s">
        <v>88</v>
      </c>
      <c r="D6" s="49" t="s">
        <v>92</v>
      </c>
      <c r="E6" s="49" t="s">
        <v>101</v>
      </c>
      <c r="F6" s="49">
        <v>15</v>
      </c>
      <c r="G6" s="50">
        <v>8000</v>
      </c>
      <c r="H6" s="50">
        <v>120000</v>
      </c>
      <c r="I6" s="49" t="s">
        <v>77</v>
      </c>
    </row>
    <row r="7" spans="2:16" ht="18.75" x14ac:dyDescent="0.25">
      <c r="B7" s="50">
        <v>105</v>
      </c>
      <c r="C7" s="49" t="s">
        <v>93</v>
      </c>
      <c r="D7" s="49" t="s">
        <v>94</v>
      </c>
      <c r="E7" s="49" t="s">
        <v>87</v>
      </c>
      <c r="F7" s="49">
        <v>24</v>
      </c>
      <c r="G7" s="50">
        <v>4800</v>
      </c>
      <c r="H7" s="50">
        <v>115200</v>
      </c>
      <c r="I7" s="49" t="s">
        <v>78</v>
      </c>
    </row>
    <row r="8" spans="2:16" ht="18.75" x14ac:dyDescent="0.25">
      <c r="B8" s="50">
        <v>106</v>
      </c>
      <c r="C8" s="49" t="s">
        <v>85</v>
      </c>
      <c r="D8" s="49" t="s">
        <v>86</v>
      </c>
      <c r="E8" s="49" t="s">
        <v>102</v>
      </c>
      <c r="F8" s="49">
        <v>25</v>
      </c>
      <c r="G8" s="50">
        <v>8500</v>
      </c>
      <c r="H8" s="50">
        <v>212500</v>
      </c>
      <c r="I8" s="49" t="s">
        <v>78</v>
      </c>
    </row>
    <row r="9" spans="2:16" ht="18.75" x14ac:dyDescent="0.25">
      <c r="B9" s="50">
        <v>107</v>
      </c>
      <c r="C9" s="49" t="s">
        <v>88</v>
      </c>
      <c r="D9" s="49" t="s">
        <v>95</v>
      </c>
      <c r="E9" s="49" t="s">
        <v>103</v>
      </c>
      <c r="F9" s="49">
        <v>18</v>
      </c>
      <c r="G9" s="50">
        <v>4400</v>
      </c>
      <c r="H9" s="50">
        <v>79200</v>
      </c>
      <c r="I9" s="49" t="s">
        <v>78</v>
      </c>
    </row>
    <row r="10" spans="2:16" ht="18.75" x14ac:dyDescent="0.25">
      <c r="B10" s="50">
        <v>108</v>
      </c>
      <c r="C10" s="49" t="s">
        <v>88</v>
      </c>
      <c r="D10" s="49" t="s">
        <v>91</v>
      </c>
      <c r="E10" s="49" t="s">
        <v>87</v>
      </c>
      <c r="F10" s="49">
        <v>23</v>
      </c>
      <c r="G10" s="50">
        <v>8400</v>
      </c>
      <c r="H10" s="50">
        <v>193200</v>
      </c>
      <c r="I10" s="49" t="s">
        <v>78</v>
      </c>
    </row>
    <row r="11" spans="2:16" ht="18.75" x14ac:dyDescent="0.25">
      <c r="B11" s="50">
        <v>109</v>
      </c>
      <c r="C11" s="49" t="s">
        <v>93</v>
      </c>
      <c r="D11" s="49" t="s">
        <v>96</v>
      </c>
      <c r="E11" s="49" t="s">
        <v>102</v>
      </c>
      <c r="F11" s="49">
        <v>20</v>
      </c>
      <c r="G11" s="50">
        <v>6300</v>
      </c>
      <c r="H11" s="50">
        <v>126000</v>
      </c>
      <c r="I11" s="49" t="s">
        <v>77</v>
      </c>
    </row>
    <row r="12" spans="2:16" ht="18.75" x14ac:dyDescent="0.25">
      <c r="B12" s="50">
        <v>110</v>
      </c>
      <c r="C12" s="49" t="s">
        <v>85</v>
      </c>
      <c r="D12" s="49" t="s">
        <v>86</v>
      </c>
      <c r="E12" s="49" t="s">
        <v>104</v>
      </c>
      <c r="F12" s="49">
        <v>10</v>
      </c>
      <c r="G12" s="50">
        <v>5000</v>
      </c>
      <c r="H12" s="50">
        <v>50000</v>
      </c>
      <c r="I12" s="49" t="s">
        <v>78</v>
      </c>
    </row>
    <row r="13" spans="2:16" ht="18.75" x14ac:dyDescent="0.25">
      <c r="B13" s="50">
        <v>111</v>
      </c>
      <c r="C13" s="49" t="s">
        <v>88</v>
      </c>
      <c r="D13" s="49" t="s">
        <v>97</v>
      </c>
      <c r="E13" s="49" t="s">
        <v>87</v>
      </c>
      <c r="F13" s="49">
        <v>30</v>
      </c>
      <c r="G13" s="50">
        <v>5000</v>
      </c>
      <c r="H13" s="50">
        <v>150000</v>
      </c>
      <c r="I13" s="49" t="s">
        <v>77</v>
      </c>
    </row>
    <row r="14" spans="2:16" ht="18.75" x14ac:dyDescent="0.25">
      <c r="B14" s="50">
        <v>112</v>
      </c>
      <c r="C14" s="49" t="s">
        <v>85</v>
      </c>
      <c r="D14" s="49" t="s">
        <v>98</v>
      </c>
      <c r="E14" s="49" t="s">
        <v>100</v>
      </c>
      <c r="F14" s="49">
        <v>17</v>
      </c>
      <c r="G14" s="50">
        <v>7300</v>
      </c>
      <c r="H14" s="50">
        <v>124100</v>
      </c>
      <c r="I14" s="49" t="s">
        <v>77</v>
      </c>
    </row>
    <row r="15" spans="2:16" ht="18.75" x14ac:dyDescent="0.25">
      <c r="B15" s="50">
        <v>113</v>
      </c>
      <c r="C15" s="49" t="s">
        <v>85</v>
      </c>
      <c r="D15" s="49" t="s">
        <v>99</v>
      </c>
      <c r="E15" s="49" t="s">
        <v>103</v>
      </c>
      <c r="F15" s="49">
        <v>24</v>
      </c>
      <c r="G15" s="50">
        <v>1500</v>
      </c>
      <c r="H15" s="50">
        <v>36000</v>
      </c>
      <c r="I15" s="49" t="s">
        <v>78</v>
      </c>
    </row>
    <row r="16" spans="2:16" ht="18.75" x14ac:dyDescent="0.25">
      <c r="B16" s="50">
        <v>114</v>
      </c>
      <c r="C16" s="49" t="s">
        <v>85</v>
      </c>
      <c r="D16" s="49" t="s">
        <v>99</v>
      </c>
      <c r="E16" s="49" t="s">
        <v>104</v>
      </c>
      <c r="F16" s="49">
        <v>25</v>
      </c>
      <c r="G16" s="50">
        <v>3600</v>
      </c>
      <c r="H16" s="50">
        <v>90000</v>
      </c>
      <c r="I16" s="49" t="s">
        <v>78</v>
      </c>
    </row>
    <row r="17" spans="2:9" ht="18.75" x14ac:dyDescent="0.25">
      <c r="B17" s="50">
        <v>115</v>
      </c>
      <c r="C17" s="49" t="s">
        <v>85</v>
      </c>
      <c r="D17" s="49" t="s">
        <v>91</v>
      </c>
      <c r="E17" s="49" t="s">
        <v>101</v>
      </c>
      <c r="F17" s="49">
        <v>26</v>
      </c>
      <c r="G17" s="50">
        <v>1500</v>
      </c>
      <c r="H17" s="50">
        <v>39000</v>
      </c>
      <c r="I17" s="49" t="s">
        <v>78</v>
      </c>
    </row>
    <row r="18" spans="2:9" ht="18.75" x14ac:dyDescent="0.25">
      <c r="B18" s="50">
        <v>116</v>
      </c>
      <c r="C18" s="49" t="s">
        <v>85</v>
      </c>
      <c r="D18" s="49" t="s">
        <v>91</v>
      </c>
      <c r="E18" s="49" t="s">
        <v>90</v>
      </c>
      <c r="F18" s="49">
        <v>10</v>
      </c>
      <c r="G18" s="50">
        <v>2500</v>
      </c>
      <c r="H18" s="50">
        <v>25000</v>
      </c>
      <c r="I18" s="49" t="s">
        <v>78</v>
      </c>
    </row>
    <row r="19" spans="2:9" ht="18.75" x14ac:dyDescent="0.25">
      <c r="B19" s="50">
        <v>117</v>
      </c>
      <c r="C19" s="49" t="s">
        <v>85</v>
      </c>
      <c r="D19" s="49" t="s">
        <v>94</v>
      </c>
      <c r="E19" s="49" t="s">
        <v>103</v>
      </c>
      <c r="F19" s="49">
        <v>10</v>
      </c>
      <c r="G19" s="50">
        <v>7500</v>
      </c>
      <c r="H19" s="50">
        <v>75000</v>
      </c>
      <c r="I19" s="49" t="s">
        <v>78</v>
      </c>
    </row>
    <row r="20" spans="2:9" ht="18.75" x14ac:dyDescent="0.25">
      <c r="B20" s="50">
        <v>118</v>
      </c>
      <c r="C20" s="49" t="s">
        <v>85</v>
      </c>
      <c r="D20" s="49" t="s">
        <v>92</v>
      </c>
      <c r="E20" s="49" t="s">
        <v>100</v>
      </c>
      <c r="F20" s="49">
        <v>8</v>
      </c>
      <c r="G20" s="50">
        <v>3600</v>
      </c>
      <c r="H20" s="50">
        <v>28800</v>
      </c>
      <c r="I20" s="49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AE127-1311-48FB-A3E4-766839A1EAE0}">
  <sheetPr>
    <tabColor theme="9" tint="0.59999389629810485"/>
  </sheetPr>
  <dimension ref="A1:H38"/>
  <sheetViews>
    <sheetView workbookViewId="0"/>
  </sheetViews>
  <sheetFormatPr defaultRowHeight="15" x14ac:dyDescent="0.25"/>
  <cols>
    <col min="2" max="2" width="6.28515625" bestFit="1" customWidth="1"/>
    <col min="3" max="3" width="15.28515625" bestFit="1" customWidth="1"/>
    <col min="4" max="4" width="13.7109375" bestFit="1" customWidth="1"/>
    <col min="5" max="5" width="5.5703125" bestFit="1" customWidth="1"/>
    <col min="6" max="6" width="16.28515625" bestFit="1" customWidth="1"/>
    <col min="7" max="7" width="12.5703125" bestFit="1" customWidth="1"/>
    <col min="8" max="8" width="7.42578125" bestFit="1" customWidth="1"/>
  </cols>
  <sheetData>
    <row r="1" spans="1:8" ht="19.5" thickBot="1" x14ac:dyDescent="0.3">
      <c r="A1" s="27" t="s">
        <v>105</v>
      </c>
      <c r="B1" s="27" t="s">
        <v>79</v>
      </c>
      <c r="C1" s="27" t="s">
        <v>80</v>
      </c>
      <c r="D1" s="27" t="s">
        <v>0</v>
      </c>
      <c r="E1" s="27" t="s">
        <v>81</v>
      </c>
      <c r="F1" s="27" t="s">
        <v>82</v>
      </c>
      <c r="G1" s="27" t="s">
        <v>83</v>
      </c>
      <c r="H1" s="27" t="s">
        <v>84</v>
      </c>
    </row>
    <row r="2" spans="1:8" ht="19.5" thickTop="1" x14ac:dyDescent="0.25">
      <c r="A2" s="28">
        <v>101</v>
      </c>
      <c r="B2" s="26" t="s">
        <v>85</v>
      </c>
      <c r="C2" s="26" t="s">
        <v>86</v>
      </c>
      <c r="D2" s="26" t="s">
        <v>87</v>
      </c>
      <c r="E2" s="26">
        <v>20</v>
      </c>
      <c r="F2" s="39">
        <v>4500</v>
      </c>
      <c r="G2" s="39">
        <v>90000</v>
      </c>
      <c r="H2" s="26" t="s">
        <v>78</v>
      </c>
    </row>
    <row r="3" spans="1:8" ht="18.75" x14ac:dyDescent="0.25">
      <c r="A3" s="28">
        <v>102</v>
      </c>
      <c r="B3" s="26" t="s">
        <v>88</v>
      </c>
      <c r="C3" s="26" t="s">
        <v>89</v>
      </c>
      <c r="D3" s="26" t="s">
        <v>100</v>
      </c>
      <c r="E3" s="26">
        <v>19</v>
      </c>
      <c r="F3" s="39">
        <v>1300</v>
      </c>
      <c r="G3" s="39">
        <v>24700</v>
      </c>
      <c r="H3" s="26" t="s">
        <v>77</v>
      </c>
    </row>
    <row r="4" spans="1:8" ht="18.75" x14ac:dyDescent="0.25">
      <c r="A4" s="28">
        <v>103</v>
      </c>
      <c r="B4" s="26" t="s">
        <v>88</v>
      </c>
      <c r="C4" s="26" t="s">
        <v>91</v>
      </c>
      <c r="D4" s="26" t="s">
        <v>87</v>
      </c>
      <c r="E4" s="26">
        <v>28</v>
      </c>
      <c r="F4" s="39">
        <v>2000</v>
      </c>
      <c r="G4" s="39">
        <v>56000</v>
      </c>
      <c r="H4" s="26" t="s">
        <v>78</v>
      </c>
    </row>
    <row r="5" spans="1:8" ht="18.75" x14ac:dyDescent="0.25">
      <c r="A5" s="28">
        <v>104</v>
      </c>
      <c r="B5" s="26" t="s">
        <v>88</v>
      </c>
      <c r="C5" s="26" t="s">
        <v>92</v>
      </c>
      <c r="D5" s="26" t="s">
        <v>101</v>
      </c>
      <c r="E5" s="26">
        <v>15</v>
      </c>
      <c r="F5" s="39">
        <v>8000</v>
      </c>
      <c r="G5" s="39">
        <v>120000</v>
      </c>
      <c r="H5" s="26" t="s">
        <v>77</v>
      </c>
    </row>
    <row r="6" spans="1:8" ht="18.75" x14ac:dyDescent="0.25">
      <c r="A6" s="28">
        <v>105</v>
      </c>
      <c r="B6" s="26" t="s">
        <v>93</v>
      </c>
      <c r="C6" s="26" t="s">
        <v>94</v>
      </c>
      <c r="D6" s="26" t="s">
        <v>87</v>
      </c>
      <c r="E6" s="26">
        <v>24</v>
      </c>
      <c r="F6" s="39">
        <v>4800</v>
      </c>
      <c r="G6" s="39">
        <v>115200</v>
      </c>
      <c r="H6" s="26" t="s">
        <v>78</v>
      </c>
    </row>
    <row r="7" spans="1:8" ht="18.75" x14ac:dyDescent="0.25">
      <c r="A7" s="28">
        <v>106</v>
      </c>
      <c r="B7" s="26" t="s">
        <v>85</v>
      </c>
      <c r="C7" s="26" t="s">
        <v>86</v>
      </c>
      <c r="D7" s="26" t="s">
        <v>102</v>
      </c>
      <c r="E7" s="26">
        <v>25</v>
      </c>
      <c r="F7" s="39">
        <v>8500</v>
      </c>
      <c r="G7" s="39">
        <v>212500</v>
      </c>
      <c r="H7" s="26" t="s">
        <v>78</v>
      </c>
    </row>
    <row r="8" spans="1:8" ht="18.75" x14ac:dyDescent="0.25">
      <c r="A8" s="28">
        <v>107</v>
      </c>
      <c r="B8" s="26" t="s">
        <v>88</v>
      </c>
      <c r="C8" s="26" t="s">
        <v>95</v>
      </c>
      <c r="D8" s="26" t="s">
        <v>103</v>
      </c>
      <c r="E8" s="26">
        <v>18</v>
      </c>
      <c r="F8" s="39">
        <v>4400</v>
      </c>
      <c r="G8" s="39">
        <v>79200</v>
      </c>
      <c r="H8" s="26" t="s">
        <v>78</v>
      </c>
    </row>
    <row r="9" spans="1:8" ht="18.75" x14ac:dyDescent="0.25">
      <c r="A9" s="28">
        <v>108</v>
      </c>
      <c r="B9" s="26" t="s">
        <v>88</v>
      </c>
      <c r="C9" s="26" t="s">
        <v>91</v>
      </c>
      <c r="D9" s="26" t="s">
        <v>87</v>
      </c>
      <c r="E9" s="26">
        <v>23</v>
      </c>
      <c r="F9" s="39">
        <v>8400</v>
      </c>
      <c r="G9" s="39">
        <v>193200</v>
      </c>
      <c r="H9" s="26" t="s">
        <v>78</v>
      </c>
    </row>
    <row r="10" spans="1:8" ht="18.75" x14ac:dyDescent="0.25">
      <c r="A10" s="28">
        <v>109</v>
      </c>
      <c r="B10" s="26" t="s">
        <v>93</v>
      </c>
      <c r="C10" s="26" t="s">
        <v>96</v>
      </c>
      <c r="D10" s="26" t="s">
        <v>102</v>
      </c>
      <c r="E10" s="26">
        <v>20</v>
      </c>
      <c r="F10" s="39">
        <v>6300</v>
      </c>
      <c r="G10" s="39">
        <v>126000</v>
      </c>
      <c r="H10" s="26" t="s">
        <v>77</v>
      </c>
    </row>
    <row r="11" spans="1:8" ht="18.75" x14ac:dyDescent="0.25">
      <c r="A11" s="28">
        <v>110</v>
      </c>
      <c r="B11" s="26" t="s">
        <v>85</v>
      </c>
      <c r="C11" s="26" t="s">
        <v>86</v>
      </c>
      <c r="D11" s="26" t="s">
        <v>104</v>
      </c>
      <c r="E11" s="26">
        <v>10</v>
      </c>
      <c r="F11" s="39">
        <v>5000</v>
      </c>
      <c r="G11" s="39">
        <v>50000</v>
      </c>
      <c r="H11" s="26" t="s">
        <v>78</v>
      </c>
    </row>
    <row r="12" spans="1:8" ht="18.75" x14ac:dyDescent="0.25">
      <c r="A12" s="28">
        <v>111</v>
      </c>
      <c r="B12" s="26" t="s">
        <v>88</v>
      </c>
      <c r="C12" s="26" t="s">
        <v>97</v>
      </c>
      <c r="D12" s="26" t="s">
        <v>87</v>
      </c>
      <c r="E12" s="26">
        <v>30</v>
      </c>
      <c r="F12" s="39">
        <v>5000</v>
      </c>
      <c r="G12" s="39">
        <v>150000</v>
      </c>
      <c r="H12" s="26" t="s">
        <v>77</v>
      </c>
    </row>
    <row r="13" spans="1:8" ht="18.75" x14ac:dyDescent="0.25">
      <c r="A13" s="28">
        <v>112</v>
      </c>
      <c r="B13" s="26" t="s">
        <v>85</v>
      </c>
      <c r="C13" s="26" t="s">
        <v>98</v>
      </c>
      <c r="D13" s="26" t="s">
        <v>100</v>
      </c>
      <c r="E13" s="26">
        <v>17</v>
      </c>
      <c r="F13" s="39">
        <v>7300</v>
      </c>
      <c r="G13" s="39">
        <v>124100</v>
      </c>
      <c r="H13" s="26" t="s">
        <v>77</v>
      </c>
    </row>
    <row r="14" spans="1:8" ht="18.75" x14ac:dyDescent="0.25">
      <c r="A14" s="28">
        <v>113</v>
      </c>
      <c r="B14" s="26" t="s">
        <v>85</v>
      </c>
      <c r="C14" s="26" t="s">
        <v>99</v>
      </c>
      <c r="D14" s="26" t="s">
        <v>103</v>
      </c>
      <c r="E14" s="26">
        <v>24</v>
      </c>
      <c r="F14" s="39">
        <v>1500</v>
      </c>
      <c r="G14" s="39">
        <v>36000</v>
      </c>
      <c r="H14" s="26" t="s">
        <v>78</v>
      </c>
    </row>
    <row r="15" spans="1:8" ht="18.75" x14ac:dyDescent="0.25">
      <c r="A15" s="28">
        <v>114</v>
      </c>
      <c r="B15" s="26" t="s">
        <v>85</v>
      </c>
      <c r="C15" s="26" t="s">
        <v>99</v>
      </c>
      <c r="D15" s="26" t="s">
        <v>104</v>
      </c>
      <c r="E15" s="26">
        <v>25</v>
      </c>
      <c r="F15" s="39">
        <v>3600</v>
      </c>
      <c r="G15" s="39">
        <v>90000</v>
      </c>
      <c r="H15" s="26" t="s">
        <v>78</v>
      </c>
    </row>
    <row r="16" spans="1:8" ht="18.75" x14ac:dyDescent="0.25">
      <c r="A16" s="28">
        <v>115</v>
      </c>
      <c r="B16" s="26" t="s">
        <v>85</v>
      </c>
      <c r="C16" s="26" t="s">
        <v>91</v>
      </c>
      <c r="D16" s="26" t="s">
        <v>101</v>
      </c>
      <c r="E16" s="26">
        <v>26</v>
      </c>
      <c r="F16" s="39">
        <v>1500</v>
      </c>
      <c r="G16" s="39">
        <v>39000</v>
      </c>
      <c r="H16" s="26" t="s">
        <v>78</v>
      </c>
    </row>
    <row r="17" spans="1:8" ht="18.75" x14ac:dyDescent="0.25">
      <c r="A17" s="28">
        <v>116</v>
      </c>
      <c r="B17" s="26" t="s">
        <v>85</v>
      </c>
      <c r="C17" s="26" t="s">
        <v>91</v>
      </c>
      <c r="D17" s="26" t="s">
        <v>90</v>
      </c>
      <c r="E17" s="26">
        <v>10</v>
      </c>
      <c r="F17" s="39">
        <v>2500</v>
      </c>
      <c r="G17" s="39">
        <v>25000</v>
      </c>
      <c r="H17" s="26" t="s">
        <v>78</v>
      </c>
    </row>
    <row r="18" spans="1:8" ht="18.75" x14ac:dyDescent="0.25">
      <c r="A18" s="28">
        <v>117</v>
      </c>
      <c r="B18" s="26" t="s">
        <v>85</v>
      </c>
      <c r="C18" s="26" t="s">
        <v>94</v>
      </c>
      <c r="D18" s="26" t="s">
        <v>103</v>
      </c>
      <c r="E18" s="26">
        <v>10</v>
      </c>
      <c r="F18" s="39">
        <v>7500</v>
      </c>
      <c r="G18" s="39">
        <v>75000</v>
      </c>
      <c r="H18" s="26" t="s">
        <v>78</v>
      </c>
    </row>
    <row r="19" spans="1:8" ht="18.75" x14ac:dyDescent="0.25">
      <c r="A19" s="36">
        <v>118</v>
      </c>
      <c r="B19" s="37" t="s">
        <v>85</v>
      </c>
      <c r="C19" s="37" t="s">
        <v>92</v>
      </c>
      <c r="D19" s="37" t="s">
        <v>100</v>
      </c>
      <c r="E19" s="37">
        <v>8</v>
      </c>
      <c r="F19" s="41">
        <v>3600</v>
      </c>
      <c r="G19" s="41">
        <v>28800</v>
      </c>
      <c r="H19" s="37" t="s">
        <v>78</v>
      </c>
    </row>
    <row r="20" spans="1:8" ht="18.75" x14ac:dyDescent="0.25">
      <c r="A20" s="28">
        <v>101</v>
      </c>
      <c r="B20" s="26" t="s">
        <v>85</v>
      </c>
      <c r="C20" s="26" t="s">
        <v>86</v>
      </c>
      <c r="D20" s="26" t="s">
        <v>87</v>
      </c>
      <c r="E20" s="26">
        <v>20</v>
      </c>
      <c r="F20" s="39">
        <v>4500</v>
      </c>
      <c r="G20" s="39">
        <v>90000</v>
      </c>
      <c r="H20" s="26" t="s">
        <v>78</v>
      </c>
    </row>
    <row r="21" spans="1:8" ht="18.75" x14ac:dyDescent="0.25">
      <c r="A21" s="28">
        <v>102</v>
      </c>
      <c r="B21" s="26" t="s">
        <v>88</v>
      </c>
      <c r="C21" s="26" t="s">
        <v>89</v>
      </c>
      <c r="D21" s="26" t="s">
        <v>100</v>
      </c>
      <c r="E21" s="26">
        <v>19</v>
      </c>
      <c r="F21" s="39">
        <v>1300</v>
      </c>
      <c r="G21" s="39">
        <v>24700</v>
      </c>
      <c r="H21" s="26" t="s">
        <v>77</v>
      </c>
    </row>
    <row r="22" spans="1:8" ht="18.75" x14ac:dyDescent="0.25">
      <c r="A22" s="28">
        <v>103</v>
      </c>
      <c r="B22" s="26" t="s">
        <v>88</v>
      </c>
      <c r="C22" s="26" t="s">
        <v>91</v>
      </c>
      <c r="D22" s="26" t="s">
        <v>87</v>
      </c>
      <c r="E22" s="26">
        <v>28</v>
      </c>
      <c r="F22" s="39">
        <v>2000</v>
      </c>
      <c r="G22" s="39">
        <v>56000</v>
      </c>
      <c r="H22" s="26" t="s">
        <v>78</v>
      </c>
    </row>
    <row r="23" spans="1:8" ht="18.75" x14ac:dyDescent="0.25">
      <c r="A23" s="28">
        <v>104</v>
      </c>
      <c r="B23" s="26" t="s">
        <v>88</v>
      </c>
      <c r="C23" s="26" t="s">
        <v>92</v>
      </c>
      <c r="D23" s="26" t="s">
        <v>101</v>
      </c>
      <c r="E23" s="26">
        <v>15</v>
      </c>
      <c r="F23" s="39">
        <v>8000</v>
      </c>
      <c r="G23" s="39">
        <v>120000</v>
      </c>
      <c r="H23" s="26" t="s">
        <v>77</v>
      </c>
    </row>
    <row r="24" spans="1:8" ht="18.75" x14ac:dyDescent="0.25">
      <c r="A24" s="28">
        <v>105</v>
      </c>
      <c r="B24" s="26" t="s">
        <v>93</v>
      </c>
      <c r="C24" s="26" t="s">
        <v>94</v>
      </c>
      <c r="D24" s="26" t="s">
        <v>87</v>
      </c>
      <c r="E24" s="26">
        <v>24</v>
      </c>
      <c r="F24" s="39">
        <v>4800</v>
      </c>
      <c r="G24" s="39">
        <v>115200</v>
      </c>
      <c r="H24" s="26" t="s">
        <v>78</v>
      </c>
    </row>
    <row r="25" spans="1:8" ht="18.75" x14ac:dyDescent="0.25">
      <c r="A25" s="28">
        <v>106</v>
      </c>
      <c r="B25" s="26" t="s">
        <v>85</v>
      </c>
      <c r="C25" s="26" t="s">
        <v>86</v>
      </c>
      <c r="D25" s="26" t="s">
        <v>102</v>
      </c>
      <c r="E25" s="26">
        <v>25</v>
      </c>
      <c r="F25" s="39">
        <v>8500</v>
      </c>
      <c r="G25" s="39">
        <v>212500</v>
      </c>
      <c r="H25" s="26" t="s">
        <v>78</v>
      </c>
    </row>
    <row r="26" spans="1:8" ht="18.75" x14ac:dyDescent="0.25">
      <c r="A26" s="28">
        <v>107</v>
      </c>
      <c r="B26" s="26" t="s">
        <v>88</v>
      </c>
      <c r="C26" s="26" t="s">
        <v>95</v>
      </c>
      <c r="D26" s="26" t="s">
        <v>103</v>
      </c>
      <c r="E26" s="26">
        <v>18</v>
      </c>
      <c r="F26" s="39">
        <v>4400</v>
      </c>
      <c r="G26" s="39">
        <v>79200</v>
      </c>
      <c r="H26" s="26" t="s">
        <v>78</v>
      </c>
    </row>
    <row r="27" spans="1:8" ht="18.75" x14ac:dyDescent="0.25">
      <c r="A27" s="28">
        <v>108</v>
      </c>
      <c r="B27" s="26" t="s">
        <v>88</v>
      </c>
      <c r="C27" s="26" t="s">
        <v>91</v>
      </c>
      <c r="D27" s="26" t="s">
        <v>87</v>
      </c>
      <c r="E27" s="26">
        <v>23</v>
      </c>
      <c r="F27" s="39">
        <v>8400</v>
      </c>
      <c r="G27" s="39">
        <v>193200</v>
      </c>
      <c r="H27" s="26" t="s">
        <v>78</v>
      </c>
    </row>
    <row r="28" spans="1:8" ht="18.75" x14ac:dyDescent="0.25">
      <c r="A28" s="28">
        <v>109</v>
      </c>
      <c r="B28" s="26" t="s">
        <v>93</v>
      </c>
      <c r="C28" s="26" t="s">
        <v>96</v>
      </c>
      <c r="D28" s="26" t="s">
        <v>102</v>
      </c>
      <c r="E28" s="26">
        <v>20</v>
      </c>
      <c r="F28" s="39">
        <v>6300</v>
      </c>
      <c r="G28" s="39">
        <v>126000</v>
      </c>
      <c r="H28" s="26" t="s">
        <v>77</v>
      </c>
    </row>
    <row r="29" spans="1:8" ht="18.75" x14ac:dyDescent="0.25">
      <c r="A29" s="28">
        <v>110</v>
      </c>
      <c r="B29" s="26" t="s">
        <v>85</v>
      </c>
      <c r="C29" s="26" t="s">
        <v>86</v>
      </c>
      <c r="D29" s="26" t="s">
        <v>104</v>
      </c>
      <c r="E29" s="26">
        <v>10</v>
      </c>
      <c r="F29" s="39">
        <v>5000</v>
      </c>
      <c r="G29" s="39">
        <v>50000</v>
      </c>
      <c r="H29" s="26" t="s">
        <v>78</v>
      </c>
    </row>
    <row r="30" spans="1:8" ht="18.75" x14ac:dyDescent="0.25">
      <c r="A30" s="28">
        <v>111</v>
      </c>
      <c r="B30" s="26" t="s">
        <v>88</v>
      </c>
      <c r="C30" s="26" t="s">
        <v>97</v>
      </c>
      <c r="D30" s="26" t="s">
        <v>87</v>
      </c>
      <c r="E30" s="26">
        <v>30</v>
      </c>
      <c r="F30" s="39">
        <v>5000</v>
      </c>
      <c r="G30" s="39">
        <v>150000</v>
      </c>
      <c r="H30" s="26" t="s">
        <v>77</v>
      </c>
    </row>
    <row r="31" spans="1:8" ht="18.75" x14ac:dyDescent="0.25">
      <c r="A31" s="28">
        <v>112</v>
      </c>
      <c r="B31" s="26" t="s">
        <v>85</v>
      </c>
      <c r="C31" s="26" t="s">
        <v>98</v>
      </c>
      <c r="D31" s="26" t="s">
        <v>100</v>
      </c>
      <c r="E31" s="26">
        <v>17</v>
      </c>
      <c r="F31" s="39">
        <v>7300</v>
      </c>
      <c r="G31" s="39">
        <v>124100</v>
      </c>
      <c r="H31" s="26" t="s">
        <v>77</v>
      </c>
    </row>
    <row r="32" spans="1:8" ht="18.75" x14ac:dyDescent="0.25">
      <c r="A32" s="28">
        <v>113</v>
      </c>
      <c r="B32" s="26" t="s">
        <v>85</v>
      </c>
      <c r="C32" s="26" t="s">
        <v>99</v>
      </c>
      <c r="D32" s="26" t="s">
        <v>103</v>
      </c>
      <c r="E32" s="26">
        <v>24</v>
      </c>
      <c r="F32" s="39">
        <v>1500</v>
      </c>
      <c r="G32" s="39">
        <v>36000</v>
      </c>
      <c r="H32" s="26" t="s">
        <v>78</v>
      </c>
    </row>
    <row r="33" spans="1:8" ht="18.75" x14ac:dyDescent="0.25">
      <c r="A33" s="28">
        <v>114</v>
      </c>
      <c r="B33" s="26" t="s">
        <v>85</v>
      </c>
      <c r="C33" s="26" t="s">
        <v>99</v>
      </c>
      <c r="D33" s="26" t="s">
        <v>104</v>
      </c>
      <c r="E33" s="26">
        <v>25</v>
      </c>
      <c r="F33" s="39">
        <v>3600</v>
      </c>
      <c r="G33" s="39">
        <v>90000</v>
      </c>
      <c r="H33" s="26" t="s">
        <v>78</v>
      </c>
    </row>
    <row r="34" spans="1:8" ht="18.75" x14ac:dyDescent="0.25">
      <c r="A34" s="28">
        <v>115</v>
      </c>
      <c r="B34" s="26" t="s">
        <v>85</v>
      </c>
      <c r="C34" s="26" t="s">
        <v>91</v>
      </c>
      <c r="D34" s="26" t="s">
        <v>101</v>
      </c>
      <c r="E34" s="26">
        <v>26</v>
      </c>
      <c r="F34" s="39">
        <v>1500</v>
      </c>
      <c r="G34" s="39">
        <v>39000</v>
      </c>
      <c r="H34" s="26" t="s">
        <v>78</v>
      </c>
    </row>
    <row r="35" spans="1:8" ht="18.75" x14ac:dyDescent="0.25">
      <c r="A35" s="28">
        <v>116</v>
      </c>
      <c r="B35" s="26" t="s">
        <v>85</v>
      </c>
      <c r="C35" s="26" t="s">
        <v>91</v>
      </c>
      <c r="D35" s="26" t="s">
        <v>90</v>
      </c>
      <c r="E35" s="26">
        <v>10</v>
      </c>
      <c r="F35" s="39">
        <v>2500</v>
      </c>
      <c r="G35" s="39">
        <v>25000</v>
      </c>
      <c r="H35" s="26" t="s">
        <v>78</v>
      </c>
    </row>
    <row r="36" spans="1:8" ht="18.75" x14ac:dyDescent="0.25">
      <c r="A36" s="28">
        <v>117</v>
      </c>
      <c r="B36" s="26" t="s">
        <v>85</v>
      </c>
      <c r="C36" s="26" t="s">
        <v>94</v>
      </c>
      <c r="D36" s="26" t="s">
        <v>103</v>
      </c>
      <c r="E36" s="26">
        <v>10</v>
      </c>
      <c r="F36" s="39">
        <v>7500</v>
      </c>
      <c r="G36" s="39">
        <v>75000</v>
      </c>
      <c r="H36" s="26" t="s">
        <v>78</v>
      </c>
    </row>
    <row r="37" spans="1:8" ht="19.5" thickBot="1" x14ac:dyDescent="0.3">
      <c r="A37" s="36">
        <v>118</v>
      </c>
      <c r="B37" s="37" t="s">
        <v>85</v>
      </c>
      <c r="C37" s="37" t="s">
        <v>92</v>
      </c>
      <c r="D37" s="37" t="s">
        <v>100</v>
      </c>
      <c r="E37" s="37">
        <v>8</v>
      </c>
      <c r="F37" s="41">
        <v>3600</v>
      </c>
      <c r="G37" s="41">
        <v>28800</v>
      </c>
      <c r="H37" s="37" t="s">
        <v>78</v>
      </c>
    </row>
    <row r="38" spans="1:8" ht="19.5" thickTop="1" x14ac:dyDescent="0.25">
      <c r="A38" s="54" t="s">
        <v>159</v>
      </c>
      <c r="B38" s="55"/>
      <c r="C38" s="55"/>
      <c r="D38" s="56"/>
      <c r="E38" s="42">
        <f>SUM(E2:E37)</f>
        <v>704</v>
      </c>
      <c r="F38" s="42">
        <f>SUM(F2:F37)</f>
        <v>171400</v>
      </c>
      <c r="G38" s="42">
        <f>SUM(G2:G37)</f>
        <v>3269400</v>
      </c>
      <c r="H38" s="43"/>
    </row>
  </sheetData>
  <mergeCells count="1">
    <mergeCell ref="A38:D3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F2B4E-BA3B-4C25-8151-10751E374A96}">
  <sheetPr>
    <tabColor theme="9" tint="0.59999389629810485"/>
  </sheetPr>
  <dimension ref="B1:K20"/>
  <sheetViews>
    <sheetView zoomScaleNormal="100" workbookViewId="0">
      <selection activeCell="B2" sqref="B2"/>
    </sheetView>
  </sheetViews>
  <sheetFormatPr defaultRowHeight="15" x14ac:dyDescent="0.25"/>
  <cols>
    <col min="1" max="1" width="3.7109375" customWidth="1"/>
    <col min="2" max="2" width="9.140625" bestFit="1" customWidth="1"/>
    <col min="3" max="3" width="6.28515625" bestFit="1" customWidth="1"/>
    <col min="4" max="4" width="15.28515625" bestFit="1" customWidth="1"/>
    <col min="5" max="5" width="13.7109375" bestFit="1" customWidth="1"/>
    <col min="6" max="6" width="5.5703125" bestFit="1" customWidth="1"/>
    <col min="7" max="7" width="16.28515625" bestFit="1" customWidth="1"/>
    <col min="8" max="8" width="12.5703125" bestFit="1" customWidth="1"/>
    <col min="9" max="9" width="7.42578125" bestFit="1" customWidth="1"/>
    <col min="10" max="10" width="11.7109375" customWidth="1"/>
  </cols>
  <sheetData>
    <row r="1" spans="2:11" ht="5.0999999999999996" customHeight="1" x14ac:dyDescent="0.25"/>
    <row r="2" spans="2:11" ht="18.75" x14ac:dyDescent="0.25">
      <c r="B2" s="49" t="s">
        <v>105</v>
      </c>
      <c r="C2" s="49" t="s">
        <v>79</v>
      </c>
      <c r="D2" s="49" t="s">
        <v>80</v>
      </c>
      <c r="E2" s="49" t="s">
        <v>0</v>
      </c>
      <c r="F2" s="49" t="s">
        <v>81</v>
      </c>
      <c r="G2" s="49" t="s">
        <v>82</v>
      </c>
      <c r="H2" s="49" t="s">
        <v>83</v>
      </c>
      <c r="I2" s="49" t="s">
        <v>84</v>
      </c>
    </row>
    <row r="3" spans="2:11" ht="18.75" x14ac:dyDescent="0.25">
      <c r="B3" s="50">
        <v>101</v>
      </c>
      <c r="C3" s="49" t="s">
        <v>85</v>
      </c>
      <c r="D3" s="49" t="s">
        <v>86</v>
      </c>
      <c r="E3" s="49" t="s">
        <v>87</v>
      </c>
      <c r="F3" s="49">
        <v>20</v>
      </c>
      <c r="G3" s="50">
        <v>4500</v>
      </c>
      <c r="H3" s="50">
        <v>90000</v>
      </c>
      <c r="I3" s="51" t="s">
        <v>78</v>
      </c>
    </row>
    <row r="4" spans="2:11" ht="18.75" x14ac:dyDescent="0.25">
      <c r="B4" s="50">
        <v>102</v>
      </c>
      <c r="C4" s="49" t="s">
        <v>88</v>
      </c>
      <c r="D4" s="49" t="s">
        <v>89</v>
      </c>
      <c r="E4" s="49" t="s">
        <v>100</v>
      </c>
      <c r="F4" s="49">
        <v>19</v>
      </c>
      <c r="G4" s="50">
        <v>1300</v>
      </c>
      <c r="H4" s="50">
        <v>24700</v>
      </c>
      <c r="I4" s="49" t="s">
        <v>77</v>
      </c>
    </row>
    <row r="5" spans="2:11" ht="18.75" x14ac:dyDescent="0.25">
      <c r="B5" s="50">
        <v>103</v>
      </c>
      <c r="C5" s="49" t="s">
        <v>88</v>
      </c>
      <c r="D5" s="49" t="s">
        <v>91</v>
      </c>
      <c r="E5" s="49" t="s">
        <v>87</v>
      </c>
      <c r="F5" s="49">
        <v>28</v>
      </c>
      <c r="G5" s="50">
        <v>2000</v>
      </c>
      <c r="H5" s="50">
        <v>56000</v>
      </c>
      <c r="I5" s="51" t="s">
        <v>78</v>
      </c>
      <c r="K5" s="38"/>
    </row>
    <row r="6" spans="2:11" ht="18.75" x14ac:dyDescent="0.25">
      <c r="B6" s="50">
        <v>104</v>
      </c>
      <c r="C6" s="49" t="s">
        <v>88</v>
      </c>
      <c r="D6" s="49" t="s">
        <v>92</v>
      </c>
      <c r="E6" s="49" t="s">
        <v>101</v>
      </c>
      <c r="F6" s="49">
        <v>15</v>
      </c>
      <c r="G6" s="50">
        <v>8000</v>
      </c>
      <c r="H6" s="50">
        <v>120000</v>
      </c>
      <c r="I6" s="49" t="s">
        <v>77</v>
      </c>
    </row>
    <row r="7" spans="2:11" ht="18.75" x14ac:dyDescent="0.25">
      <c r="B7" s="50">
        <v>105</v>
      </c>
      <c r="C7" s="49" t="s">
        <v>93</v>
      </c>
      <c r="D7" s="49" t="s">
        <v>94</v>
      </c>
      <c r="E7" s="49" t="s">
        <v>87</v>
      </c>
      <c r="F7" s="49">
        <v>24</v>
      </c>
      <c r="G7" s="50">
        <v>4800</v>
      </c>
      <c r="H7" s="50">
        <v>115200</v>
      </c>
      <c r="I7" s="51" t="s">
        <v>78</v>
      </c>
    </row>
    <row r="8" spans="2:11" ht="18.75" x14ac:dyDescent="0.25">
      <c r="B8" s="50">
        <v>106</v>
      </c>
      <c r="C8" s="49" t="s">
        <v>85</v>
      </c>
      <c r="D8" s="49" t="s">
        <v>86</v>
      </c>
      <c r="E8" s="49" t="s">
        <v>102</v>
      </c>
      <c r="F8" s="49">
        <v>25</v>
      </c>
      <c r="G8" s="50">
        <v>8500</v>
      </c>
      <c r="H8" s="50">
        <v>212500</v>
      </c>
      <c r="I8" s="51" t="s">
        <v>78</v>
      </c>
    </row>
    <row r="9" spans="2:11" ht="18.75" x14ac:dyDescent="0.25">
      <c r="B9" s="50">
        <v>107</v>
      </c>
      <c r="C9" s="49" t="s">
        <v>88</v>
      </c>
      <c r="D9" s="49" t="s">
        <v>95</v>
      </c>
      <c r="E9" s="49" t="s">
        <v>103</v>
      </c>
      <c r="F9" s="49">
        <v>18</v>
      </c>
      <c r="G9" s="50">
        <v>4400</v>
      </c>
      <c r="H9" s="50">
        <v>79200</v>
      </c>
      <c r="I9" s="51" t="s">
        <v>78</v>
      </c>
    </row>
    <row r="10" spans="2:11" ht="18.75" x14ac:dyDescent="0.25">
      <c r="B10" s="50">
        <v>108</v>
      </c>
      <c r="C10" s="49" t="s">
        <v>88</v>
      </c>
      <c r="D10" s="49" t="s">
        <v>91</v>
      </c>
      <c r="E10" s="49" t="s">
        <v>87</v>
      </c>
      <c r="F10" s="49">
        <v>23</v>
      </c>
      <c r="G10" s="50">
        <v>8400</v>
      </c>
      <c r="H10" s="50">
        <v>193200</v>
      </c>
      <c r="I10" s="51" t="s">
        <v>78</v>
      </c>
    </row>
    <row r="11" spans="2:11" ht="18.75" x14ac:dyDescent="0.25">
      <c r="B11" s="50">
        <v>109</v>
      </c>
      <c r="C11" s="49" t="s">
        <v>93</v>
      </c>
      <c r="D11" s="49" t="s">
        <v>96</v>
      </c>
      <c r="E11" s="49" t="s">
        <v>102</v>
      </c>
      <c r="F11" s="49">
        <v>20</v>
      </c>
      <c r="G11" s="50">
        <v>6300</v>
      </c>
      <c r="H11" s="50">
        <v>126000</v>
      </c>
      <c r="I11" s="49" t="s">
        <v>77</v>
      </c>
    </row>
    <row r="12" spans="2:11" ht="18.75" x14ac:dyDescent="0.25">
      <c r="B12" s="50">
        <v>110</v>
      </c>
      <c r="C12" s="49" t="s">
        <v>85</v>
      </c>
      <c r="D12" s="49" t="s">
        <v>86</v>
      </c>
      <c r="E12" s="49" t="s">
        <v>104</v>
      </c>
      <c r="F12" s="49">
        <v>10</v>
      </c>
      <c r="G12" s="50">
        <v>5000</v>
      </c>
      <c r="H12" s="50">
        <v>50000</v>
      </c>
      <c r="I12" s="51" t="s">
        <v>78</v>
      </c>
    </row>
    <row r="13" spans="2:11" ht="18.75" x14ac:dyDescent="0.25">
      <c r="B13" s="50">
        <v>111</v>
      </c>
      <c r="C13" s="49" t="s">
        <v>88</v>
      </c>
      <c r="D13" s="49" t="s">
        <v>97</v>
      </c>
      <c r="E13" s="49" t="s">
        <v>87</v>
      </c>
      <c r="F13" s="49">
        <v>30</v>
      </c>
      <c r="G13" s="50">
        <v>5000</v>
      </c>
      <c r="H13" s="50">
        <v>150000</v>
      </c>
      <c r="I13" s="49" t="s">
        <v>77</v>
      </c>
    </row>
    <row r="14" spans="2:11" ht="18.75" x14ac:dyDescent="0.25">
      <c r="B14" s="50">
        <v>112</v>
      </c>
      <c r="C14" s="49" t="s">
        <v>85</v>
      </c>
      <c r="D14" s="49" t="s">
        <v>98</v>
      </c>
      <c r="E14" s="49" t="s">
        <v>100</v>
      </c>
      <c r="F14" s="49">
        <v>17</v>
      </c>
      <c r="G14" s="50">
        <v>7300</v>
      </c>
      <c r="H14" s="50">
        <v>124100</v>
      </c>
      <c r="I14" s="49" t="s">
        <v>77</v>
      </c>
    </row>
    <row r="15" spans="2:11" ht="18.75" x14ac:dyDescent="0.25">
      <c r="B15" s="50">
        <v>113</v>
      </c>
      <c r="C15" s="49" t="s">
        <v>85</v>
      </c>
      <c r="D15" s="49" t="s">
        <v>99</v>
      </c>
      <c r="E15" s="49" t="s">
        <v>103</v>
      </c>
      <c r="F15" s="49">
        <v>24</v>
      </c>
      <c r="G15" s="50">
        <v>1500</v>
      </c>
      <c r="H15" s="50">
        <v>36000</v>
      </c>
      <c r="I15" s="51" t="s">
        <v>78</v>
      </c>
    </row>
    <row r="16" spans="2:11" ht="18.75" x14ac:dyDescent="0.25">
      <c r="B16" s="50">
        <v>114</v>
      </c>
      <c r="C16" s="49" t="s">
        <v>85</v>
      </c>
      <c r="D16" s="49" t="s">
        <v>99</v>
      </c>
      <c r="E16" s="49" t="s">
        <v>104</v>
      </c>
      <c r="F16" s="49">
        <v>25</v>
      </c>
      <c r="G16" s="50">
        <v>3600</v>
      </c>
      <c r="H16" s="50">
        <v>90000</v>
      </c>
      <c r="I16" s="51" t="s">
        <v>78</v>
      </c>
    </row>
    <row r="17" spans="2:9" ht="18.75" x14ac:dyDescent="0.25">
      <c r="B17" s="50">
        <v>115</v>
      </c>
      <c r="C17" s="49" t="s">
        <v>85</v>
      </c>
      <c r="D17" s="49" t="s">
        <v>91</v>
      </c>
      <c r="E17" s="49" t="s">
        <v>101</v>
      </c>
      <c r="F17" s="49">
        <v>26</v>
      </c>
      <c r="G17" s="50">
        <v>1500</v>
      </c>
      <c r="H17" s="50">
        <v>39000</v>
      </c>
      <c r="I17" s="51" t="s">
        <v>78</v>
      </c>
    </row>
    <row r="18" spans="2:9" ht="18.75" x14ac:dyDescent="0.25">
      <c r="B18" s="50">
        <v>116</v>
      </c>
      <c r="C18" s="49" t="s">
        <v>85</v>
      </c>
      <c r="D18" s="49" t="s">
        <v>91</v>
      </c>
      <c r="E18" s="49" t="s">
        <v>90</v>
      </c>
      <c r="F18" s="49">
        <v>10</v>
      </c>
      <c r="G18" s="50">
        <v>2500</v>
      </c>
      <c r="H18" s="50">
        <v>25000</v>
      </c>
      <c r="I18" s="51" t="s">
        <v>78</v>
      </c>
    </row>
    <row r="19" spans="2:9" ht="18.75" x14ac:dyDescent="0.25">
      <c r="B19" s="50">
        <v>117</v>
      </c>
      <c r="C19" s="49" t="s">
        <v>85</v>
      </c>
      <c r="D19" s="49" t="s">
        <v>94</v>
      </c>
      <c r="E19" s="49" t="s">
        <v>103</v>
      </c>
      <c r="F19" s="49">
        <v>10</v>
      </c>
      <c r="G19" s="50">
        <v>7500</v>
      </c>
      <c r="H19" s="50">
        <v>75000</v>
      </c>
      <c r="I19" s="51" t="s">
        <v>78</v>
      </c>
    </row>
    <row r="20" spans="2:9" ht="18.75" x14ac:dyDescent="0.25">
      <c r="B20" s="50">
        <v>118</v>
      </c>
      <c r="C20" s="49" t="s">
        <v>85</v>
      </c>
      <c r="D20" s="49" t="s">
        <v>92</v>
      </c>
      <c r="E20" s="49" t="s">
        <v>100</v>
      </c>
      <c r="F20" s="49">
        <v>8</v>
      </c>
      <c r="G20" s="50">
        <v>3600</v>
      </c>
      <c r="H20" s="50">
        <v>28800</v>
      </c>
      <c r="I20" s="51" t="s">
        <v>78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DC974-7D2E-4733-9341-2F9B8FEF52D3}">
  <sheetPr>
    <tabColor theme="9" tint="0.59999389629810485"/>
  </sheetPr>
  <dimension ref="B1:I15"/>
  <sheetViews>
    <sheetView zoomScaleNormal="100" workbookViewId="0">
      <selection activeCell="H3" sqref="H3"/>
    </sheetView>
  </sheetViews>
  <sheetFormatPr defaultRowHeight="15" x14ac:dyDescent="0.25"/>
  <cols>
    <col min="1" max="1" width="3.7109375" customWidth="1"/>
    <col min="2" max="2" width="9.140625" bestFit="1" customWidth="1"/>
    <col min="3" max="3" width="10.85546875" bestFit="1" customWidth="1"/>
    <col min="4" max="4" width="12.28515625" bestFit="1" customWidth="1"/>
    <col min="5" max="5" width="13.7109375" bestFit="1" customWidth="1"/>
    <col min="6" max="6" width="13.28515625" bestFit="1" customWidth="1"/>
    <col min="7" max="7" width="3.7109375" customWidth="1"/>
    <col min="8" max="8" width="31.42578125" customWidth="1"/>
    <col min="9" max="9" width="10.85546875" bestFit="1" customWidth="1"/>
  </cols>
  <sheetData>
    <row r="1" spans="2:9" ht="5.0999999999999996" customHeight="1" x14ac:dyDescent="0.25"/>
    <row r="2" spans="2:9" ht="19.5" thickBot="1" x14ac:dyDescent="0.3">
      <c r="B2" s="27" t="s">
        <v>118</v>
      </c>
      <c r="C2" s="27" t="s">
        <v>60</v>
      </c>
      <c r="D2" s="27" t="s">
        <v>109</v>
      </c>
      <c r="E2" s="27" t="s">
        <v>106</v>
      </c>
      <c r="F2" s="27" t="s">
        <v>119</v>
      </c>
    </row>
    <row r="3" spans="2:9" ht="19.5" thickTop="1" x14ac:dyDescent="0.25">
      <c r="B3" s="28">
        <v>1001</v>
      </c>
      <c r="C3" s="26" t="s">
        <v>86</v>
      </c>
      <c r="D3" s="26" t="s">
        <v>111</v>
      </c>
      <c r="E3" s="26" t="s">
        <v>114</v>
      </c>
      <c r="F3" s="39">
        <v>90000</v>
      </c>
      <c r="H3" s="2">
        <v>1012</v>
      </c>
      <c r="I3" s="3" t="s">
        <v>120</v>
      </c>
    </row>
    <row r="4" spans="2:9" ht="18.75" x14ac:dyDescent="0.25">
      <c r="B4" s="28">
        <v>1002</v>
      </c>
      <c r="C4" s="26" t="s">
        <v>89</v>
      </c>
      <c r="D4" s="26" t="s">
        <v>107</v>
      </c>
      <c r="E4" s="26" t="s">
        <v>110</v>
      </c>
      <c r="F4" s="39">
        <v>24700</v>
      </c>
      <c r="H4" s="2"/>
      <c r="I4" s="3" t="s">
        <v>121</v>
      </c>
    </row>
    <row r="5" spans="2:9" ht="18.75" x14ac:dyDescent="0.25">
      <c r="B5" s="28">
        <v>1003</v>
      </c>
      <c r="C5" s="26" t="s">
        <v>91</v>
      </c>
      <c r="D5" s="26" t="s">
        <v>111</v>
      </c>
      <c r="E5" s="26" t="s">
        <v>112</v>
      </c>
      <c r="F5" s="39">
        <v>56000</v>
      </c>
      <c r="H5" s="2"/>
      <c r="I5" s="3" t="s">
        <v>122</v>
      </c>
    </row>
    <row r="6" spans="2:9" ht="18.75" x14ac:dyDescent="0.25">
      <c r="B6" s="28">
        <v>1004</v>
      </c>
      <c r="C6" s="26" t="s">
        <v>92</v>
      </c>
      <c r="D6" s="26" t="s">
        <v>113</v>
      </c>
      <c r="E6" s="26" t="s">
        <v>114</v>
      </c>
      <c r="F6" s="39">
        <v>120000</v>
      </c>
      <c r="H6" s="4"/>
      <c r="I6" s="3" t="s">
        <v>123</v>
      </c>
    </row>
    <row r="7" spans="2:9" ht="18.75" x14ac:dyDescent="0.25">
      <c r="B7" s="28">
        <v>1005</v>
      </c>
      <c r="C7" s="26" t="s">
        <v>94</v>
      </c>
      <c r="D7" s="26" t="s">
        <v>115</v>
      </c>
      <c r="E7" s="26" t="s">
        <v>114</v>
      </c>
      <c r="F7" s="39">
        <v>115200</v>
      </c>
    </row>
    <row r="8" spans="2:9" ht="18.75" x14ac:dyDescent="0.25">
      <c r="B8" s="28">
        <v>1006</v>
      </c>
      <c r="C8" s="26" t="s">
        <v>86</v>
      </c>
      <c r="D8" s="26" t="s">
        <v>108</v>
      </c>
      <c r="E8" s="26" t="s">
        <v>110</v>
      </c>
      <c r="F8" s="39">
        <v>212500</v>
      </c>
    </row>
    <row r="9" spans="2:9" ht="18.75" x14ac:dyDescent="0.25">
      <c r="B9" s="28">
        <v>1007</v>
      </c>
      <c r="C9" s="26" t="s">
        <v>95</v>
      </c>
      <c r="D9" s="26" t="s">
        <v>113</v>
      </c>
      <c r="E9" s="26" t="s">
        <v>114</v>
      </c>
      <c r="F9" s="39">
        <v>79200</v>
      </c>
    </row>
    <row r="10" spans="2:9" ht="18.75" x14ac:dyDescent="0.25">
      <c r="B10" s="28">
        <v>1008</v>
      </c>
      <c r="C10" s="26" t="s">
        <v>91</v>
      </c>
      <c r="D10" s="26" t="s">
        <v>111</v>
      </c>
      <c r="E10" s="26" t="s">
        <v>112</v>
      </c>
      <c r="F10" s="39">
        <v>193200</v>
      </c>
    </row>
    <row r="11" spans="2:9" ht="18.75" x14ac:dyDescent="0.25">
      <c r="B11" s="28">
        <v>1009</v>
      </c>
      <c r="C11" s="26" t="s">
        <v>96</v>
      </c>
      <c r="D11" s="26" t="s">
        <v>111</v>
      </c>
      <c r="E11" s="26" t="s">
        <v>112</v>
      </c>
      <c r="F11" s="39">
        <v>126000</v>
      </c>
    </row>
    <row r="12" spans="2:9" ht="18.75" x14ac:dyDescent="0.25">
      <c r="B12" s="28">
        <v>1010</v>
      </c>
      <c r="C12" s="26" t="s">
        <v>86</v>
      </c>
      <c r="D12" s="26" t="s">
        <v>116</v>
      </c>
      <c r="E12" s="26" t="s">
        <v>114</v>
      </c>
      <c r="F12" s="39">
        <v>50000</v>
      </c>
    </row>
    <row r="13" spans="2:9" ht="18.75" x14ac:dyDescent="0.25">
      <c r="B13" s="28">
        <v>1011</v>
      </c>
      <c r="C13" s="26" t="s">
        <v>97</v>
      </c>
      <c r="D13" s="26" t="s">
        <v>117</v>
      </c>
      <c r="E13" s="26" t="s">
        <v>112</v>
      </c>
      <c r="F13" s="39">
        <v>150000</v>
      </c>
    </row>
    <row r="14" spans="2:9" ht="18.75" x14ac:dyDescent="0.25">
      <c r="B14" s="28">
        <v>1012</v>
      </c>
      <c r="C14" s="26" t="s">
        <v>98</v>
      </c>
      <c r="D14" s="26" t="s">
        <v>111</v>
      </c>
      <c r="E14" s="26" t="s">
        <v>114</v>
      </c>
      <c r="F14" s="39">
        <v>124100</v>
      </c>
    </row>
    <row r="15" spans="2:9" ht="18.75" x14ac:dyDescent="0.25">
      <c r="B15" s="28">
        <v>1013</v>
      </c>
      <c r="C15" s="26" t="s">
        <v>99</v>
      </c>
      <c r="D15" s="26" t="s">
        <v>111</v>
      </c>
      <c r="E15" s="26" t="s">
        <v>112</v>
      </c>
      <c r="F15" s="39">
        <v>36000</v>
      </c>
    </row>
  </sheetData>
  <sortState xmlns:xlrd2="http://schemas.microsoft.com/office/spreadsheetml/2017/richdata2" ref="B3:F15">
    <sortCondition ref="B2:B15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872D9-1285-4782-A81E-A1152295315C}">
  <sheetPr>
    <tabColor theme="9" tint="0.59999389629810485"/>
  </sheetPr>
  <dimension ref="B1:I15"/>
  <sheetViews>
    <sheetView zoomScaleNormal="100" workbookViewId="0">
      <selection activeCell="H3" sqref="H3"/>
    </sheetView>
  </sheetViews>
  <sheetFormatPr defaultRowHeight="15" x14ac:dyDescent="0.25"/>
  <cols>
    <col min="1" max="1" width="3.7109375" customWidth="1"/>
    <col min="2" max="2" width="10.85546875" bestFit="1" customWidth="1"/>
    <col min="3" max="4" width="12.28515625" bestFit="1" customWidth="1"/>
    <col min="5" max="5" width="13.7109375" bestFit="1" customWidth="1"/>
    <col min="6" max="6" width="13.28515625" bestFit="1" customWidth="1"/>
    <col min="7" max="7" width="3.7109375" customWidth="1"/>
    <col min="8" max="8" width="31.42578125" customWidth="1"/>
    <col min="9" max="9" width="10.85546875" bestFit="1" customWidth="1"/>
  </cols>
  <sheetData>
    <row r="1" spans="2:9" ht="5.0999999999999996" customHeight="1" x14ac:dyDescent="0.25"/>
    <row r="2" spans="2:9" ht="19.5" thickBot="1" x14ac:dyDescent="0.3">
      <c r="B2" s="27" t="s">
        <v>60</v>
      </c>
      <c r="C2" s="27" t="s">
        <v>109</v>
      </c>
      <c r="D2" s="27" t="s">
        <v>118</v>
      </c>
      <c r="E2" s="27" t="s">
        <v>106</v>
      </c>
      <c r="F2" s="27" t="s">
        <v>119</v>
      </c>
    </row>
    <row r="3" spans="2:9" ht="19.5" thickTop="1" x14ac:dyDescent="0.25">
      <c r="B3" s="26" t="s">
        <v>86</v>
      </c>
      <c r="C3" s="26" t="s">
        <v>111</v>
      </c>
      <c r="D3" s="28">
        <v>1001</v>
      </c>
      <c r="E3" s="26" t="s">
        <v>114</v>
      </c>
      <c r="F3" s="39">
        <v>90000</v>
      </c>
      <c r="H3" s="2">
        <v>1001</v>
      </c>
      <c r="I3" s="3" t="s">
        <v>120</v>
      </c>
    </row>
    <row r="4" spans="2:9" ht="18.75" x14ac:dyDescent="0.25">
      <c r="B4" s="26" t="s">
        <v>89</v>
      </c>
      <c r="C4" s="26" t="s">
        <v>107</v>
      </c>
      <c r="D4" s="28">
        <v>1002</v>
      </c>
      <c r="E4" s="26" t="s">
        <v>110</v>
      </c>
      <c r="F4" s="39">
        <v>24700</v>
      </c>
      <c r="H4" s="2"/>
      <c r="I4" s="3" t="s">
        <v>121</v>
      </c>
    </row>
    <row r="5" spans="2:9" ht="18.75" x14ac:dyDescent="0.25">
      <c r="B5" s="26" t="s">
        <v>91</v>
      </c>
      <c r="C5" s="26" t="s">
        <v>111</v>
      </c>
      <c r="D5" s="28">
        <v>1003</v>
      </c>
      <c r="E5" s="26" t="s">
        <v>112</v>
      </c>
      <c r="F5" s="39">
        <v>56000</v>
      </c>
      <c r="H5" s="4"/>
      <c r="I5" s="3" t="s">
        <v>123</v>
      </c>
    </row>
    <row r="6" spans="2:9" ht="18.75" x14ac:dyDescent="0.25">
      <c r="B6" s="26" t="s">
        <v>92</v>
      </c>
      <c r="C6" s="26" t="s">
        <v>113</v>
      </c>
      <c r="D6" s="28">
        <v>1004</v>
      </c>
      <c r="E6" s="26" t="s">
        <v>114</v>
      </c>
      <c r="F6" s="39">
        <v>120000</v>
      </c>
    </row>
    <row r="7" spans="2:9" ht="18.75" x14ac:dyDescent="0.25">
      <c r="B7" s="26" t="s">
        <v>94</v>
      </c>
      <c r="C7" s="26" t="s">
        <v>115</v>
      </c>
      <c r="D7" s="28">
        <v>1005</v>
      </c>
      <c r="E7" s="26" t="s">
        <v>114</v>
      </c>
      <c r="F7" s="39">
        <v>115200</v>
      </c>
    </row>
    <row r="8" spans="2:9" ht="18" customHeight="1" x14ac:dyDescent="0.25">
      <c r="B8" s="26" t="s">
        <v>86</v>
      </c>
      <c r="C8" s="26" t="s">
        <v>108</v>
      </c>
      <c r="D8" s="28">
        <v>1006</v>
      </c>
      <c r="E8" s="26" t="s">
        <v>110</v>
      </c>
      <c r="F8" s="39">
        <v>212500</v>
      </c>
    </row>
    <row r="9" spans="2:9" ht="18.75" x14ac:dyDescent="0.25">
      <c r="B9" s="26" t="s">
        <v>95</v>
      </c>
      <c r="C9" s="26" t="s">
        <v>113</v>
      </c>
      <c r="D9" s="28">
        <v>1007</v>
      </c>
      <c r="E9" s="26" t="s">
        <v>114</v>
      </c>
      <c r="F9" s="39">
        <v>79200</v>
      </c>
    </row>
    <row r="10" spans="2:9" ht="18.75" x14ac:dyDescent="0.25">
      <c r="B10" s="26" t="s">
        <v>91</v>
      </c>
      <c r="C10" s="26" t="s">
        <v>111</v>
      </c>
      <c r="D10" s="28">
        <v>1008</v>
      </c>
      <c r="E10" s="26" t="s">
        <v>112</v>
      </c>
      <c r="F10" s="39">
        <v>193200</v>
      </c>
    </row>
    <row r="11" spans="2:9" ht="18.75" x14ac:dyDescent="0.25">
      <c r="B11" s="26" t="s">
        <v>96</v>
      </c>
      <c r="C11" s="26" t="s">
        <v>111</v>
      </c>
      <c r="D11" s="28">
        <v>1009</v>
      </c>
      <c r="E11" s="26" t="s">
        <v>112</v>
      </c>
      <c r="F11" s="39">
        <v>126000</v>
      </c>
    </row>
    <row r="12" spans="2:9" ht="18.75" x14ac:dyDescent="0.25">
      <c r="B12" s="26" t="s">
        <v>86</v>
      </c>
      <c r="C12" s="26" t="s">
        <v>116</v>
      </c>
      <c r="D12" s="28">
        <v>1010</v>
      </c>
      <c r="E12" s="26" t="s">
        <v>114</v>
      </c>
      <c r="F12" s="39">
        <v>50000</v>
      </c>
    </row>
    <row r="13" spans="2:9" ht="18.75" x14ac:dyDescent="0.25">
      <c r="B13" s="26" t="s">
        <v>97</v>
      </c>
      <c r="C13" s="26" t="s">
        <v>117</v>
      </c>
      <c r="D13" s="28">
        <v>1011</v>
      </c>
      <c r="E13" s="26" t="s">
        <v>112</v>
      </c>
      <c r="F13" s="39">
        <v>150000</v>
      </c>
    </row>
    <row r="14" spans="2:9" ht="18.75" x14ac:dyDescent="0.25">
      <c r="B14" s="26" t="s">
        <v>98</v>
      </c>
      <c r="C14" s="26" t="s">
        <v>111</v>
      </c>
      <c r="D14" s="28">
        <v>1012</v>
      </c>
      <c r="E14" s="26" t="s">
        <v>114</v>
      </c>
      <c r="F14" s="39">
        <v>124100</v>
      </c>
    </row>
    <row r="15" spans="2:9" ht="18.75" x14ac:dyDescent="0.25">
      <c r="B15" s="26" t="s">
        <v>99</v>
      </c>
      <c r="C15" s="26" t="s">
        <v>111</v>
      </c>
      <c r="D15" s="28">
        <v>1013</v>
      </c>
      <c r="E15" s="26" t="s">
        <v>112</v>
      </c>
      <c r="F15" s="39">
        <v>36000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60874-EBB0-489A-870F-252E63DDD34E}">
  <sheetPr>
    <tabColor theme="9" tint="0.59999389629810485"/>
  </sheetPr>
  <dimension ref="B1:N17"/>
  <sheetViews>
    <sheetView zoomScaleNormal="100" workbookViewId="0">
      <selection activeCell="M3" sqref="M3:N3"/>
    </sheetView>
  </sheetViews>
  <sheetFormatPr defaultRowHeight="15" x14ac:dyDescent="0.25"/>
  <cols>
    <col min="1" max="1" width="3.7109375" customWidth="1"/>
    <col min="2" max="2" width="9.140625" bestFit="1" customWidth="1"/>
    <col min="3" max="3" width="10.85546875" bestFit="1" customWidth="1"/>
    <col min="4" max="4" width="12.28515625" bestFit="1" customWidth="1"/>
    <col min="5" max="5" width="13.7109375" bestFit="1" customWidth="1"/>
    <col min="6" max="6" width="10.7109375" bestFit="1" customWidth="1"/>
    <col min="7" max="7" width="11.28515625" bestFit="1" customWidth="1"/>
    <col min="8" max="8" width="11.28515625" customWidth="1"/>
    <col min="9" max="9" width="3.7109375" customWidth="1"/>
    <col min="10" max="10" width="13" customWidth="1"/>
    <col min="11" max="11" width="15.28515625" bestFit="1" customWidth="1"/>
    <col min="12" max="12" width="3.7109375" customWidth="1"/>
  </cols>
  <sheetData>
    <row r="1" spans="2:14" ht="5.0999999999999996" customHeight="1" x14ac:dyDescent="0.25"/>
    <row r="2" spans="2:14" ht="19.5" thickBot="1" x14ac:dyDescent="0.3">
      <c r="B2" s="27" t="s">
        <v>118</v>
      </c>
      <c r="C2" s="27" t="s">
        <v>60</v>
      </c>
      <c r="D2" s="27" t="s">
        <v>109</v>
      </c>
      <c r="E2" s="27" t="s">
        <v>106</v>
      </c>
      <c r="F2" s="27" t="s">
        <v>119</v>
      </c>
      <c r="G2" s="27" t="s">
        <v>147</v>
      </c>
      <c r="H2" s="6"/>
    </row>
    <row r="3" spans="2:14" ht="19.5" thickTop="1" x14ac:dyDescent="0.25">
      <c r="B3" s="28">
        <v>1001</v>
      </c>
      <c r="C3" s="26" t="s">
        <v>86</v>
      </c>
      <c r="D3" s="26" t="s">
        <v>109</v>
      </c>
      <c r="E3" s="26" t="s">
        <v>106</v>
      </c>
      <c r="F3" s="39">
        <v>90000</v>
      </c>
      <c r="G3" s="39">
        <v>30</v>
      </c>
      <c r="H3" s="40"/>
      <c r="J3" s="2">
        <v>1001</v>
      </c>
      <c r="K3" s="3" t="s">
        <v>120</v>
      </c>
      <c r="M3" s="57" t="s">
        <v>143</v>
      </c>
      <c r="N3" s="57"/>
    </row>
    <row r="4" spans="2:14" ht="18.75" x14ac:dyDescent="0.25">
      <c r="B4" s="28">
        <v>1002</v>
      </c>
      <c r="C4" s="26" t="s">
        <v>89</v>
      </c>
      <c r="D4" s="26" t="s">
        <v>107</v>
      </c>
      <c r="E4" s="26" t="s">
        <v>110</v>
      </c>
      <c r="F4" s="39">
        <v>24700</v>
      </c>
      <c r="G4" s="39">
        <v>30</v>
      </c>
      <c r="H4" s="40"/>
      <c r="J4" s="2" t="str">
        <f>VLOOKUP(J3,B2:G15,2,0)</f>
        <v>تهرانی مقدم</v>
      </c>
      <c r="K4" s="3" t="s">
        <v>121</v>
      </c>
      <c r="M4" s="52">
        <v>1</v>
      </c>
      <c r="N4" s="52" t="s">
        <v>146</v>
      </c>
    </row>
    <row r="5" spans="2:14" ht="18.75" x14ac:dyDescent="0.25">
      <c r="B5" s="28">
        <v>1003</v>
      </c>
      <c r="C5" s="26" t="s">
        <v>91</v>
      </c>
      <c r="D5" s="26" t="s">
        <v>111</v>
      </c>
      <c r="E5" s="26" t="s">
        <v>112</v>
      </c>
      <c r="F5" s="39">
        <v>56000</v>
      </c>
      <c r="G5" s="39">
        <v>30</v>
      </c>
      <c r="H5" s="40"/>
      <c r="M5" s="52">
        <v>2</v>
      </c>
      <c r="N5" s="52" t="s">
        <v>145</v>
      </c>
    </row>
    <row r="6" spans="2:14" ht="18.75" x14ac:dyDescent="0.25">
      <c r="B6" s="28">
        <v>1004</v>
      </c>
      <c r="C6" s="26" t="s">
        <v>92</v>
      </c>
      <c r="D6" s="26" t="s">
        <v>113</v>
      </c>
      <c r="E6" s="26" t="s">
        <v>114</v>
      </c>
      <c r="F6" s="39">
        <v>120000</v>
      </c>
      <c r="G6" s="39">
        <v>30</v>
      </c>
      <c r="H6" s="40"/>
      <c r="M6" s="52">
        <v>3</v>
      </c>
      <c r="N6" s="52" t="e">
        <v>#N/A</v>
      </c>
    </row>
    <row r="7" spans="2:14" ht="18.75" x14ac:dyDescent="0.25">
      <c r="B7" s="28">
        <v>1005</v>
      </c>
      <c r="C7" s="26" t="s">
        <v>94</v>
      </c>
      <c r="D7" s="26" t="s">
        <v>115</v>
      </c>
      <c r="E7" s="26" t="s">
        <v>114</v>
      </c>
      <c r="F7" s="39">
        <v>115200</v>
      </c>
      <c r="G7" s="39">
        <v>30</v>
      </c>
      <c r="H7" s="40"/>
      <c r="J7" s="53"/>
      <c r="M7" s="52">
        <v>4</v>
      </c>
      <c r="N7" s="52" t="e">
        <v>#REF!</v>
      </c>
    </row>
    <row r="8" spans="2:14" ht="18.75" x14ac:dyDescent="0.25">
      <c r="B8" s="28">
        <v>1006</v>
      </c>
      <c r="C8" s="26" t="s">
        <v>86</v>
      </c>
      <c r="D8" s="26" t="s">
        <v>108</v>
      </c>
      <c r="E8" s="26" t="s">
        <v>110</v>
      </c>
      <c r="F8" s="39">
        <v>212500</v>
      </c>
      <c r="G8" s="39">
        <v>0</v>
      </c>
      <c r="H8" s="40"/>
      <c r="M8" s="52">
        <v>5</v>
      </c>
      <c r="N8" s="52" t="s">
        <v>144</v>
      </c>
    </row>
    <row r="9" spans="2:14" ht="18.75" x14ac:dyDescent="0.25">
      <c r="B9" s="28">
        <v>1007</v>
      </c>
      <c r="C9" s="26" t="s">
        <v>95</v>
      </c>
      <c r="D9" s="26" t="s">
        <v>113</v>
      </c>
      <c r="E9" s="26" t="s">
        <v>114</v>
      </c>
      <c r="F9" s="39">
        <v>79200</v>
      </c>
      <c r="G9" s="39">
        <v>0</v>
      </c>
      <c r="H9" s="40"/>
      <c r="M9" s="52">
        <v>6</v>
      </c>
      <c r="N9" s="52" t="s">
        <v>150</v>
      </c>
    </row>
    <row r="10" spans="2:14" ht="18.75" x14ac:dyDescent="0.25">
      <c r="B10" s="28">
        <v>1008</v>
      </c>
      <c r="C10" s="26" t="s">
        <v>91</v>
      </c>
      <c r="D10" s="26" t="s">
        <v>111</v>
      </c>
      <c r="E10" s="26" t="s">
        <v>112</v>
      </c>
      <c r="F10" s="39">
        <v>193200</v>
      </c>
      <c r="G10" s="39">
        <v>0</v>
      </c>
      <c r="H10" s="40"/>
    </row>
    <row r="11" spans="2:14" ht="18.75" x14ac:dyDescent="0.25">
      <c r="B11" s="28">
        <v>1009</v>
      </c>
      <c r="C11" s="26" t="s">
        <v>96</v>
      </c>
      <c r="D11" s="26" t="s">
        <v>111</v>
      </c>
      <c r="E11" s="26" t="s">
        <v>112</v>
      </c>
      <c r="F11" s="39">
        <v>126000</v>
      </c>
      <c r="G11" s="39">
        <v>30</v>
      </c>
      <c r="H11" s="40"/>
    </row>
    <row r="12" spans="2:14" ht="18.75" x14ac:dyDescent="0.25">
      <c r="B12" s="28">
        <v>1010</v>
      </c>
      <c r="C12" s="26" t="s">
        <v>86</v>
      </c>
      <c r="D12" s="26" t="s">
        <v>116</v>
      </c>
      <c r="E12" s="26" t="s">
        <v>114</v>
      </c>
      <c r="F12" s="39">
        <v>50000</v>
      </c>
      <c r="G12" s="39">
        <v>30</v>
      </c>
      <c r="H12" s="40"/>
    </row>
    <row r="13" spans="2:14" ht="18.75" x14ac:dyDescent="0.25">
      <c r="B13" s="28">
        <v>1011</v>
      </c>
      <c r="C13" s="26" t="s">
        <v>97</v>
      </c>
      <c r="D13" s="26" t="s">
        <v>117</v>
      </c>
      <c r="E13" s="26" t="s">
        <v>112</v>
      </c>
      <c r="F13" s="39">
        <v>150000</v>
      </c>
      <c r="G13" s="39">
        <v>30</v>
      </c>
      <c r="H13" s="40"/>
    </row>
    <row r="14" spans="2:14" ht="18.75" x14ac:dyDescent="0.25">
      <c r="B14" s="28">
        <v>1012</v>
      </c>
      <c r="C14" s="26" t="s">
        <v>98</v>
      </c>
      <c r="D14" s="26" t="s">
        <v>111</v>
      </c>
      <c r="E14" s="26" t="s">
        <v>114</v>
      </c>
      <c r="F14" s="39">
        <v>124100</v>
      </c>
      <c r="G14" s="39">
        <v>30</v>
      </c>
      <c r="H14" s="40"/>
    </row>
    <row r="15" spans="2:14" ht="18.75" x14ac:dyDescent="0.25">
      <c r="B15" s="28">
        <v>1013</v>
      </c>
      <c r="C15" s="26" t="s">
        <v>99</v>
      </c>
      <c r="D15" s="26" t="s">
        <v>111</v>
      </c>
      <c r="E15" s="26" t="s">
        <v>112</v>
      </c>
      <c r="F15" s="39">
        <v>36000</v>
      </c>
      <c r="G15" s="39">
        <v>30</v>
      </c>
      <c r="H15" s="40"/>
    </row>
    <row r="17" spans="4:5" ht="18.75" x14ac:dyDescent="0.25">
      <c r="D17" s="6"/>
      <c r="E17" s="6"/>
    </row>
  </sheetData>
  <mergeCells count="1">
    <mergeCell ref="M3:N3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96FB-D241-4846-9856-26E68676943C}">
  <sheetPr>
    <tabColor theme="9" tint="0.59999389629810485"/>
  </sheetPr>
  <dimension ref="B3:L15"/>
  <sheetViews>
    <sheetView showGridLines="0" zoomScale="120" zoomScaleNormal="120" workbookViewId="0">
      <selection activeCell="B3" sqref="B3"/>
    </sheetView>
  </sheetViews>
  <sheetFormatPr defaultRowHeight="15" x14ac:dyDescent="0.25"/>
  <cols>
    <col min="3" max="3" width="36.7109375" customWidth="1"/>
    <col min="12" max="12" width="45.5703125" hidden="1" customWidth="1"/>
  </cols>
  <sheetData>
    <row r="3" spans="2:12" ht="19.5" thickBot="1" x14ac:dyDescent="0.3">
      <c r="B3" s="48" t="s">
        <v>148</v>
      </c>
      <c r="C3" s="48" t="s">
        <v>149</v>
      </c>
      <c r="L3" s="27" t="s">
        <v>149</v>
      </c>
    </row>
    <row r="4" spans="2:12" ht="19.5" thickTop="1" x14ac:dyDescent="0.5">
      <c r="B4" s="46" t="e">
        <v>#DIV/0!</v>
      </c>
      <c r="C4" s="47"/>
      <c r="L4" s="18" t="s">
        <v>153</v>
      </c>
    </row>
    <row r="5" spans="2:12" ht="18.75" x14ac:dyDescent="0.5">
      <c r="B5" s="44" t="e">
        <v>#NAME?</v>
      </c>
      <c r="C5" s="45"/>
      <c r="L5" s="18" t="s">
        <v>152</v>
      </c>
    </row>
    <row r="6" spans="2:12" ht="18.75" x14ac:dyDescent="0.5">
      <c r="B6" s="44" t="e">
        <v>#N/A</v>
      </c>
      <c r="C6" s="45"/>
      <c r="L6" s="18" t="s">
        <v>155</v>
      </c>
    </row>
    <row r="7" spans="2:12" ht="18.75" x14ac:dyDescent="0.5">
      <c r="B7" s="44" t="e">
        <v>#REF!</v>
      </c>
      <c r="C7" s="45"/>
      <c r="L7" s="18" t="s">
        <v>151</v>
      </c>
    </row>
    <row r="8" spans="2:12" ht="18.75" x14ac:dyDescent="0.5">
      <c r="B8" s="44" t="s">
        <v>154</v>
      </c>
      <c r="C8" s="45"/>
      <c r="L8" s="18" t="s">
        <v>156</v>
      </c>
    </row>
    <row r="9" spans="2:12" ht="18.75" x14ac:dyDescent="0.5">
      <c r="B9" s="45" t="e">
        <v>#VALUE!</v>
      </c>
      <c r="C9" s="45"/>
      <c r="L9" s="18" t="s">
        <v>157</v>
      </c>
    </row>
    <row r="10" spans="2:12" ht="18.75" x14ac:dyDescent="0.5">
      <c r="L10" s="18" t="s">
        <v>158</v>
      </c>
    </row>
    <row r="15" spans="2:12" x14ac:dyDescent="0.25">
      <c r="B15" s="58" t="s">
        <v>160</v>
      </c>
      <c r="C15" s="58"/>
    </row>
  </sheetData>
  <mergeCells count="1">
    <mergeCell ref="B15:C15"/>
  </mergeCells>
  <conditionalFormatting sqref="B4:C4">
    <cfRule type="expression" dxfId="6" priority="22">
      <formula>$C4=$L$7</formula>
    </cfRule>
  </conditionalFormatting>
  <conditionalFormatting sqref="B5:C5">
    <cfRule type="expression" dxfId="5" priority="21">
      <formula>$C5=$L$5</formula>
    </cfRule>
  </conditionalFormatting>
  <conditionalFormatting sqref="B6:C6">
    <cfRule type="expression" dxfId="4" priority="24">
      <formula>$C6=$L$4</formula>
    </cfRule>
  </conditionalFormatting>
  <conditionalFormatting sqref="B7:C7">
    <cfRule type="expression" dxfId="3" priority="19">
      <formula>$C7=$L$8</formula>
    </cfRule>
  </conditionalFormatting>
  <conditionalFormatting sqref="B8:C8">
    <cfRule type="expression" dxfId="2" priority="20">
      <formula>$C8=$L$6</formula>
    </cfRule>
  </conditionalFormatting>
  <conditionalFormatting sqref="B9:C9">
    <cfRule type="expression" dxfId="1" priority="23">
      <formula>$C9=$L$10</formula>
    </cfRule>
  </conditionalFormatting>
  <conditionalFormatting sqref="B15:C15">
    <cfRule type="expression" dxfId="0" priority="1">
      <formula>AND(C4=$L$7,C5=$L$5,C6=$L$4,C7=$L$8,C8=$L$6,C9=$L$10)</formula>
    </cfRule>
  </conditionalFormatting>
  <dataValidations count="1">
    <dataValidation type="list" allowBlank="1" showInputMessage="1" showErrorMessage="1" sqref="C4:C9" xr:uid="{F52D96EB-2B31-4272-A04B-B0D24198382C}">
      <formula1>Description_Error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logical test(Hidden)</vt:lpstr>
      <vt:lpstr>Data Validation</vt:lpstr>
      <vt:lpstr>Filter &amp; Advanced Filter</vt:lpstr>
      <vt:lpstr>Freeze Panes</vt:lpstr>
      <vt:lpstr>Find &amp; Replace</vt:lpstr>
      <vt:lpstr>VLOOKUP(1)</vt:lpstr>
      <vt:lpstr>MATCH&amp;INDEX</vt:lpstr>
      <vt:lpstr>Errors</vt:lpstr>
      <vt:lpstr>Errors(1)</vt:lpstr>
      <vt:lpstr>'Filter &amp; Advanced Filter'!Criteria</vt:lpstr>
      <vt:lpstr>'MATCH&amp;INDEX'!Description_Error</vt:lpstr>
      <vt:lpstr>Description_Error</vt:lpstr>
      <vt:lpstr>'Filter &amp; Advanced Filter'!Extract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Seyed Masoud Hosseini</cp:lastModifiedBy>
  <cp:lastPrinted>2023-10-21T09:22:14Z</cp:lastPrinted>
  <dcterms:created xsi:type="dcterms:W3CDTF">2015-06-05T18:17:20Z</dcterms:created>
  <dcterms:modified xsi:type="dcterms:W3CDTF">2024-01-09T11:47:58Z</dcterms:modified>
</cp:coreProperties>
</file>